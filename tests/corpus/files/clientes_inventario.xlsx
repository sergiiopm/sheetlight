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ientes" sheetId="1" r:id="rId1"/>
    <sheet name="Inventario" sheetId="2" r:id="rId2"/>
    <sheet name="Resumen" sheetId="3" r:id="rId3"/>
  </sheets>
  <definedNames>
    <definedName name="_xlnm._FilterDatabase" localSheetId="0" hidden="1">Clientes!$A$1:$O$251</definedName>
    <definedName name="_xlnm._FilterDatabase" localSheetId="1" hidden="1">Inventario!$A$2:$K$122</definedName>
  </definedNames>
  <calcPr calcId="124519" fullCalcOnLoad="1"/>
</workbook>
</file>

<file path=xl/sharedStrings.xml><?xml version="1.0" encoding="utf-8"?>
<sst xmlns="http://schemas.openxmlformats.org/spreadsheetml/2006/main" count="3038" uniqueCount="2038">
  <si>
    <t>Código</t>
  </si>
  <si>
    <t>Nombre</t>
  </si>
  <si>
    <t>NIF</t>
  </si>
  <si>
    <t>Dirección</t>
  </si>
  <si>
    <t>CP</t>
  </si>
  <si>
    <t>Ciudad</t>
  </si>
  <si>
    <t>Provincia</t>
  </si>
  <si>
    <t>Teléfono</t>
  </si>
  <si>
    <t>Email</t>
  </si>
  <si>
    <t>Fecha alta</t>
  </si>
  <si>
    <t>Activo</t>
  </si>
  <si>
    <t>Límite crédito</t>
  </si>
  <si>
    <t>Saldo pendiente</t>
  </si>
  <si>
    <t>Riesgo</t>
  </si>
  <si>
    <t>Notas internas</t>
  </si>
  <si>
    <t>C0001</t>
  </si>
  <si>
    <t>Talleres Díaz</t>
  </si>
  <si>
    <t>J81494521</t>
  </si>
  <si>
    <t>C/ Doctor Fleming, 124</t>
  </si>
  <si>
    <t>48490</t>
  </si>
  <si>
    <t>Bilbao</t>
  </si>
  <si>
    <t>Bizkaia</t>
  </si>
  <si>
    <t>977 290 767</t>
  </si>
  <si>
    <t>diaz1@talleres.es</t>
  </si>
  <si>
    <t>Revisar condiciones de pago</t>
  </si>
  <si>
    <t>C0002</t>
  </si>
  <si>
    <t>Núñez &amp; Asociados</t>
  </si>
  <si>
    <t>B51508096</t>
  </si>
  <si>
    <t>C/ del Sol, 82</t>
  </si>
  <si>
    <t>08308</t>
  </si>
  <si>
    <t>Barcelona</t>
  </si>
  <si>
    <t>976 608 153</t>
  </si>
  <si>
    <t>nunez2@nunez.es</t>
  </si>
  <si>
    <t/>
  </si>
  <si>
    <t>C0003</t>
  </si>
  <si>
    <t>Distribuciones Alonso S.A.</t>
  </si>
  <si>
    <t>B38637057</t>
  </si>
  <si>
    <t>Paseo de la Castellana, 2</t>
  </si>
  <si>
    <t>28326</t>
  </si>
  <si>
    <t>Alcalá de Henares</t>
  </si>
  <si>
    <t>Madrid</t>
  </si>
  <si>
    <t>918 867 474</t>
  </si>
  <si>
    <t>alonso3@distribuciones.es</t>
  </si>
  <si>
    <t>C0004</t>
  </si>
  <si>
    <t>Clínica Dental Gil</t>
  </si>
  <si>
    <t>B62216382</t>
  </si>
  <si>
    <t>Avda. de la Constitución, 31</t>
  </si>
  <si>
    <t>15568</t>
  </si>
  <si>
    <t>A Coruña</t>
  </si>
  <si>
    <t>933 803 212</t>
  </si>
  <si>
    <t>gil4@clinica.es</t>
  </si>
  <si>
    <t>C0005</t>
  </si>
  <si>
    <t>Ferretería Vázquez S.L.</t>
  </si>
  <si>
    <t>B56730317</t>
  </si>
  <si>
    <t>Paseo de la Castellana, 138</t>
  </si>
  <si>
    <t>28419</t>
  </si>
  <si>
    <t>935 987 297</t>
  </si>
  <si>
    <t>vazquez5@ferreteria.es</t>
  </si>
  <si>
    <t>C0006</t>
  </si>
  <si>
    <t>Agüero &amp; Asociados</t>
  </si>
  <si>
    <t>A74581691</t>
  </si>
  <si>
    <t>C/ Doctor Fleming, 114</t>
  </si>
  <si>
    <t>12071</t>
  </si>
  <si>
    <t>Castelló de la Plana</t>
  </si>
  <si>
    <t>Castellón</t>
  </si>
  <si>
    <t>958 488 876</t>
  </si>
  <si>
    <t>aguero6@aguero.es</t>
  </si>
  <si>
    <t>C0007</t>
  </si>
  <si>
    <t>Vázquez e Hijos S.L.</t>
  </si>
  <si>
    <t>J74880488</t>
  </si>
  <si>
    <t>C/ San Juan, 130</t>
  </si>
  <si>
    <t>12746</t>
  </si>
  <si>
    <t>914 807 189</t>
  </si>
  <si>
    <t>vazquez7@vazquez.es</t>
  </si>
  <si>
    <t>C0008</t>
  </si>
  <si>
    <t>Molina &amp; Asociados</t>
  </si>
  <si>
    <t>J74680318</t>
  </si>
  <si>
    <t>C/ Real, 82</t>
  </si>
  <si>
    <t>12897</t>
  </si>
  <si>
    <t>959 121 877</t>
  </si>
  <si>
    <t>molina8@molina.es</t>
  </si>
  <si>
    <t>C0009</t>
  </si>
  <si>
    <t>Transportes Torres S.L.</t>
  </si>
  <si>
    <t>J57457543</t>
  </si>
  <si>
    <t>C/ Doctor Fleming, 9</t>
  </si>
  <si>
    <t>41778</t>
  </si>
  <si>
    <t>Sevilla</t>
  </si>
  <si>
    <t>964 544 928</t>
  </si>
  <si>
    <t>torres9@transportes.es</t>
  </si>
  <si>
    <t>C0010</t>
  </si>
  <si>
    <t>Talleres García</t>
  </si>
  <si>
    <t>B88298837</t>
  </si>
  <si>
    <t>Avda. de la Constitución, 17</t>
  </si>
  <si>
    <t>12094</t>
  </si>
  <si>
    <t>920 686 220</t>
  </si>
  <si>
    <t>garcia10@talleres.es</t>
  </si>
  <si>
    <t>C0011</t>
  </si>
  <si>
    <t>Transportes García S.L.</t>
  </si>
  <si>
    <t>J59851176</t>
  </si>
  <si>
    <t>C/ Real, 117</t>
  </si>
  <si>
    <t>26540</t>
  </si>
  <si>
    <t>Logroño</t>
  </si>
  <si>
    <t>La Rioja</t>
  </si>
  <si>
    <t>910 979 259</t>
  </si>
  <si>
    <t>garcia11@transportes.es</t>
  </si>
  <si>
    <t>C0012</t>
  </si>
  <si>
    <t>Ferretería López S.L.</t>
  </si>
  <si>
    <t>J40604363</t>
  </si>
  <si>
    <t>C/ Mayor, 5</t>
  </si>
  <si>
    <t>50810</t>
  </si>
  <si>
    <t>Zaragoza</t>
  </si>
  <si>
    <t>996 215 442</t>
  </si>
  <si>
    <t>lopez12@ferreteria.es</t>
  </si>
  <si>
    <t>C0013</t>
  </si>
  <si>
    <t>Panadería García</t>
  </si>
  <si>
    <t>B53864598</t>
  </si>
  <si>
    <t>Rambla de Catalunya, 70</t>
  </si>
  <si>
    <t>15633</t>
  </si>
  <si>
    <t>977 231 836</t>
  </si>
  <si>
    <t>garcia13@panaderia.es</t>
  </si>
  <si>
    <t>C0014</t>
  </si>
  <si>
    <t>Distribuciones Muñoz S.A.</t>
  </si>
  <si>
    <t>A44677957</t>
  </si>
  <si>
    <t>Rambla de Catalunya, 83</t>
  </si>
  <si>
    <t>50858</t>
  </si>
  <si>
    <t>922 277 524</t>
  </si>
  <si>
    <t>munoz14@distribuciones.es</t>
  </si>
  <si>
    <t>C0015</t>
  </si>
  <si>
    <t>Ferretería Alonso S.L.</t>
  </si>
  <si>
    <t>A30020377</t>
  </si>
  <si>
    <t>C/ Mayor, 127</t>
  </si>
  <si>
    <t>28024</t>
  </si>
  <si>
    <t>953 290 469</t>
  </si>
  <si>
    <t>alonso15@ferreteria.es</t>
  </si>
  <si>
    <t>C0016</t>
  </si>
  <si>
    <t>Transportes Núñez S.L.</t>
  </si>
  <si>
    <t>B46126863</t>
  </si>
  <si>
    <t>Avda. de la Constitución, 49</t>
  </si>
  <si>
    <t>14586</t>
  </si>
  <si>
    <t>Córdoba</t>
  </si>
  <si>
    <t>938 880 143</t>
  </si>
  <si>
    <t>nunez16@transportes.es</t>
  </si>
  <si>
    <t>C0017</t>
  </si>
  <si>
    <t>Construcciones Serrano S.L.U.</t>
  </si>
  <si>
    <t>B15552760</t>
  </si>
  <si>
    <t>Avda. de la Constitución, 128</t>
  </si>
  <si>
    <t>29829</t>
  </si>
  <si>
    <t>Málaga</t>
  </si>
  <si>
    <t>940 788 913</t>
  </si>
  <si>
    <t>serrano17@construcciones.es</t>
  </si>
  <si>
    <t>C0018</t>
  </si>
  <si>
    <t>Talleres Muñoz</t>
  </si>
  <si>
    <t>J48112960</t>
  </si>
  <si>
    <t>C/ San Juan, 117</t>
  </si>
  <si>
    <t>26878</t>
  </si>
  <si>
    <t>946 847 493</t>
  </si>
  <si>
    <t>munoz18@talleres.es</t>
  </si>
  <si>
    <t>C0019</t>
  </si>
  <si>
    <t>Farmacia Núñez</t>
  </si>
  <si>
    <t>B31241074</t>
  </si>
  <si>
    <t>Rambla de Catalunya, 45</t>
  </si>
  <si>
    <t>08377</t>
  </si>
  <si>
    <t>L'Hospitalet de Llobregat</t>
  </si>
  <si>
    <t>945 323 944</t>
  </si>
  <si>
    <t>nunez19@farmacia.es</t>
  </si>
  <si>
    <t>C0020</t>
  </si>
  <si>
    <t>Ibáñez e Hijos S.L.</t>
  </si>
  <si>
    <t>A80112876</t>
  </si>
  <si>
    <t>29099</t>
  </si>
  <si>
    <t>963 250 682</t>
  </si>
  <si>
    <t>ibanez20@ibanez.es</t>
  </si>
  <si>
    <t>C0021</t>
  </si>
  <si>
    <t>Ferretería Serrano S.L.</t>
  </si>
  <si>
    <t>B76247715</t>
  </si>
  <si>
    <t>Rambla de Catalunya, 61</t>
  </si>
  <si>
    <t>08809</t>
  </si>
  <si>
    <t>937 618 972</t>
  </si>
  <si>
    <t>serrano21@ferreteria.es</t>
  </si>
  <si>
    <t>C0022</t>
  </si>
  <si>
    <t>A74896494</t>
  </si>
  <si>
    <t>Plaza de España, 79</t>
  </si>
  <si>
    <t>28311</t>
  </si>
  <si>
    <t>948 946 114</t>
  </si>
  <si>
    <t>molina22@molina.es</t>
  </si>
  <si>
    <t>C0023</t>
  </si>
  <si>
    <t>Ferretería Núñez S.L.</t>
  </si>
  <si>
    <t>J68267378</t>
  </si>
  <si>
    <t>Plaza de España, 72</t>
  </si>
  <si>
    <t>29258</t>
  </si>
  <si>
    <t>974 475 459</t>
  </si>
  <si>
    <t>nunez23@ferreteria.es</t>
  </si>
  <si>
    <t>C0024</t>
  </si>
  <si>
    <t>Ramos &amp; Asociados</t>
  </si>
  <si>
    <t>B25389167</t>
  </si>
  <si>
    <t>C/ San Juan, 133</t>
  </si>
  <si>
    <t>11029</t>
  </si>
  <si>
    <t>Cádiz</t>
  </si>
  <si>
    <t>933 907 627</t>
  </si>
  <si>
    <t>ramos24@ramos.es</t>
  </si>
  <si>
    <t>C0025</t>
  </si>
  <si>
    <t>Construcciones Vázquez S.L.U.</t>
  </si>
  <si>
    <t>J99237907</t>
  </si>
  <si>
    <t>C/ Doctor Fleming, 121</t>
  </si>
  <si>
    <t>08443</t>
  </si>
  <si>
    <t>955 920 360</t>
  </si>
  <si>
    <t>vazquez25@construcciones.es</t>
  </si>
  <si>
    <t>C0026</t>
  </si>
  <si>
    <t>Gómez &amp; Asociados</t>
  </si>
  <si>
    <t>A53658882</t>
  </si>
  <si>
    <t>C/ Real, 46</t>
  </si>
  <si>
    <t>33310</t>
  </si>
  <si>
    <t>Gijón</t>
  </si>
  <si>
    <t>Asturias</t>
  </si>
  <si>
    <t>965 723 441</t>
  </si>
  <si>
    <t>gomez26@gomez.es</t>
  </si>
  <si>
    <t>C0027</t>
  </si>
  <si>
    <t>Construcciones Agüero S.L.U.</t>
  </si>
  <si>
    <t>B48503801</t>
  </si>
  <si>
    <t>Paseo de la Castellana, 47</t>
  </si>
  <si>
    <t>11308</t>
  </si>
  <si>
    <t>951 782 702</t>
  </si>
  <si>
    <t>aguero27@construcciones.es</t>
  </si>
  <si>
    <t>C0028</t>
  </si>
  <si>
    <t>Panadería Hernández</t>
  </si>
  <si>
    <t>A32267189</t>
  </si>
  <si>
    <t>Rambla de Catalunya, 32</t>
  </si>
  <si>
    <t>46421</t>
  </si>
  <si>
    <t>Valencia</t>
  </si>
  <si>
    <t>990 988 395</t>
  </si>
  <si>
    <t>hernandez28@panaderia.es</t>
  </si>
  <si>
    <t>C0029</t>
  </si>
  <si>
    <t>B83721279</t>
  </si>
  <si>
    <t>C/ del Sol, 45</t>
  </si>
  <si>
    <t>50162</t>
  </si>
  <si>
    <t>945 727 421</t>
  </si>
  <si>
    <t>garcia29@transportes.es</t>
  </si>
  <si>
    <t>C0030</t>
  </si>
  <si>
    <t>Distribuciones Gómez S.A.</t>
  </si>
  <si>
    <t>A33010187</t>
  </si>
  <si>
    <t>Plaza de España, 5</t>
  </si>
  <si>
    <t>08760</t>
  </si>
  <si>
    <t>928 662 783</t>
  </si>
  <si>
    <t>gomez30@distribuciones.es</t>
  </si>
  <si>
    <t>C0031</t>
  </si>
  <si>
    <t>Farmacia Ibáñez</t>
  </si>
  <si>
    <t>J59024298</t>
  </si>
  <si>
    <t>C/ Real, 128</t>
  </si>
  <si>
    <t>28821</t>
  </si>
  <si>
    <t>912 948 560</t>
  </si>
  <si>
    <t>ibanez31@farmacia.es</t>
  </si>
  <si>
    <t>C0032</t>
  </si>
  <si>
    <t>Construcciones Torres S.L.U.</t>
  </si>
  <si>
    <t>A79430409</t>
  </si>
  <si>
    <t>Plaza de España, 35</t>
  </si>
  <si>
    <t>11756</t>
  </si>
  <si>
    <t>992 250 310</t>
  </si>
  <si>
    <t>torres32@construcciones.es</t>
  </si>
  <si>
    <t>C0033</t>
  </si>
  <si>
    <t>Distribuciones López S.A.</t>
  </si>
  <si>
    <t>J63461428</t>
  </si>
  <si>
    <t>C/ Doctor Fleming, 130</t>
  </si>
  <si>
    <t>50231</t>
  </si>
  <si>
    <t>968 605 178</t>
  </si>
  <si>
    <t>lopez33@distribuciones.es</t>
  </si>
  <si>
    <t>C0034</t>
  </si>
  <si>
    <t>Distribuciones García S.A.</t>
  </si>
  <si>
    <t>B30514277</t>
  </si>
  <si>
    <t>C/ San Juan, 36</t>
  </si>
  <si>
    <t>50836</t>
  </si>
  <si>
    <t>994 380 301</t>
  </si>
  <si>
    <t>garcia34@distribuciones.es</t>
  </si>
  <si>
    <t>C0035</t>
  </si>
  <si>
    <t>Clínica Dental Sánchez</t>
  </si>
  <si>
    <t>B83577660</t>
  </si>
  <si>
    <t>Avda. de la Constitución, 134</t>
  </si>
  <si>
    <t>08031</t>
  </si>
  <si>
    <t>960 447 362</t>
  </si>
  <si>
    <t>sanchez35@clinica.es</t>
  </si>
  <si>
    <t>C0036</t>
  </si>
  <si>
    <t>Farmacia Ramos</t>
  </si>
  <si>
    <t>A51352365</t>
  </si>
  <si>
    <t>C/ San Juan, 114</t>
  </si>
  <si>
    <t>41103</t>
  </si>
  <si>
    <t>980 365 127</t>
  </si>
  <si>
    <t>ramos36@farmacia.es</t>
  </si>
  <si>
    <t>C0037</t>
  </si>
  <si>
    <t>Blanco &amp; Asociados</t>
  </si>
  <si>
    <t>A36430843</t>
  </si>
  <si>
    <t>Paseo de la Castellana, 14</t>
  </si>
  <si>
    <t>12718</t>
  </si>
  <si>
    <t>961 929 709</t>
  </si>
  <si>
    <t>blanco37@blanco.es</t>
  </si>
  <si>
    <t>C0038</t>
  </si>
  <si>
    <t>Clínica Dental Moreno</t>
  </si>
  <si>
    <t>B53306595</t>
  </si>
  <si>
    <t>C/ Real, 80</t>
  </si>
  <si>
    <t>05347</t>
  </si>
  <si>
    <t>Ávila</t>
  </si>
  <si>
    <t>989 409 222</t>
  </si>
  <si>
    <t>moreno38@clinica.es</t>
  </si>
  <si>
    <t>C0039</t>
  </si>
  <si>
    <t>Farmacia Sánchez</t>
  </si>
  <si>
    <t>J79417210</t>
  </si>
  <si>
    <t>C/ del Sol, 58</t>
  </si>
  <si>
    <t>29229</t>
  </si>
  <si>
    <t>920 874 325</t>
  </si>
  <si>
    <t>sanchez39@farmacia.es</t>
  </si>
  <si>
    <t>C0040</t>
  </si>
  <si>
    <t>Ferretería Díaz S.L.</t>
  </si>
  <si>
    <t>J56326551</t>
  </si>
  <si>
    <t>C/ Mayor, 115</t>
  </si>
  <si>
    <t>14974</t>
  </si>
  <si>
    <t>961 729 290</t>
  </si>
  <si>
    <t>diaz40@ferreteria.es</t>
  </si>
  <si>
    <t>C0041</t>
  </si>
  <si>
    <t>Construcciones Ruiz S.L.U.</t>
  </si>
  <si>
    <t>A98651871</t>
  </si>
  <si>
    <t>Paseo de la Castellana, 66</t>
  </si>
  <si>
    <t>08369</t>
  </si>
  <si>
    <t>932 551 702</t>
  </si>
  <si>
    <t>ruiz41@construcciones.es</t>
  </si>
  <si>
    <t>C0042</t>
  </si>
  <si>
    <t>Ruiz &amp; Asociados</t>
  </si>
  <si>
    <t>A70119470</t>
  </si>
  <si>
    <t>C/ del Sol, 34</t>
  </si>
  <si>
    <t>11731</t>
  </si>
  <si>
    <t>965 993 804</t>
  </si>
  <si>
    <t>ruiz42@ruiz.es</t>
  </si>
  <si>
    <t>C0043</t>
  </si>
  <si>
    <t>Distribuciones Gil S.A.</t>
  </si>
  <si>
    <t>A37459522</t>
  </si>
  <si>
    <t>Avda. de la Constitución, 85</t>
  </si>
  <si>
    <t>12082</t>
  </si>
  <si>
    <t>984 220 862</t>
  </si>
  <si>
    <t>gil43@distribuciones.es</t>
  </si>
  <si>
    <t>C0044</t>
  </si>
  <si>
    <t>Construcciones Moreno S.L.U.</t>
  </si>
  <si>
    <t>A71636413</t>
  </si>
  <si>
    <t>C/ Doctor Fleming, 101</t>
  </si>
  <si>
    <t>28465</t>
  </si>
  <si>
    <t>986 798 160</t>
  </si>
  <si>
    <t>moreno44@construcciones.es</t>
  </si>
  <si>
    <t>C0045</t>
  </si>
  <si>
    <t>Transportes Díaz S.L.</t>
  </si>
  <si>
    <t>J72453612</t>
  </si>
  <si>
    <t>C/ San Juan, 19</t>
  </si>
  <si>
    <t>08300</t>
  </si>
  <si>
    <t>930 896 576</t>
  </si>
  <si>
    <t>diaz45@transportes.es</t>
  </si>
  <si>
    <t>C0046</t>
  </si>
  <si>
    <t>Agüero e Hijos S.L.</t>
  </si>
  <si>
    <t>B59834395</t>
  </si>
  <si>
    <t>Paseo de la Castellana, 7</t>
  </si>
  <si>
    <t>50923</t>
  </si>
  <si>
    <t>946 628 819</t>
  </si>
  <si>
    <t>aguero46@aguero.es</t>
  </si>
  <si>
    <t>C0047</t>
  </si>
  <si>
    <t>Construcciones Blanco S.L.U.</t>
  </si>
  <si>
    <t>A55530942</t>
  </si>
  <si>
    <t>Paseo de la Castellana, 51</t>
  </si>
  <si>
    <t>28007</t>
  </si>
  <si>
    <t>922 369 256</t>
  </si>
  <si>
    <t>blanco47@construcciones.es</t>
  </si>
  <si>
    <t>C0048</t>
  </si>
  <si>
    <t>Construcciones Sánchez S.L.U.</t>
  </si>
  <si>
    <t>A35328928</t>
  </si>
  <si>
    <t>Avda. de la Constitución, 80</t>
  </si>
  <si>
    <t>08373</t>
  </si>
  <si>
    <t>998 509 445</t>
  </si>
  <si>
    <t>sanchez48@construcciones.es</t>
  </si>
  <si>
    <t>C0049</t>
  </si>
  <si>
    <t>Blanco e Hijos S.L.</t>
  </si>
  <si>
    <t>B89758151</t>
  </si>
  <si>
    <t>C/ San Juan, 98</t>
  </si>
  <si>
    <t>28812</t>
  </si>
  <si>
    <t>995 987 156</t>
  </si>
  <si>
    <t>blanco49@blanco.es</t>
  </si>
  <si>
    <t>C0050</t>
  </si>
  <si>
    <t>López e Hijos S.L.</t>
  </si>
  <si>
    <t>A15815506</t>
  </si>
  <si>
    <t>C/ San Juan, 62</t>
  </si>
  <si>
    <t>12752</t>
  </si>
  <si>
    <t>962 247 971</t>
  </si>
  <si>
    <t>lopez50@lopez.es</t>
  </si>
  <si>
    <t>C0051</t>
  </si>
  <si>
    <t>Transportes Ramos S.L.</t>
  </si>
  <si>
    <t>A65377309</t>
  </si>
  <si>
    <t>C/ Doctor Fleming, 58</t>
  </si>
  <si>
    <t>41799</t>
  </si>
  <si>
    <t>916 815 471</t>
  </si>
  <si>
    <t>ramos51@transportes.es</t>
  </si>
  <si>
    <t>C0052</t>
  </si>
  <si>
    <t>B58872434</t>
  </si>
  <si>
    <t>C/ del Sol, 25</t>
  </si>
  <si>
    <t>48284</t>
  </si>
  <si>
    <t>959 182 523</t>
  </si>
  <si>
    <t>blanco52@blanco.es</t>
  </si>
  <si>
    <t>C0053</t>
  </si>
  <si>
    <t>Distribuciones Agüero S.A.</t>
  </si>
  <si>
    <t>A88385254</t>
  </si>
  <si>
    <t>Paseo de la Castellana, 20</t>
  </si>
  <si>
    <t>48124</t>
  </si>
  <si>
    <t>971 223 674</t>
  </si>
  <si>
    <t>aguero53@distribuciones.es</t>
  </si>
  <si>
    <t>C0054</t>
  </si>
  <si>
    <t>B19583649</t>
  </si>
  <si>
    <t>C/ Real, 1</t>
  </si>
  <si>
    <t>15333</t>
  </si>
  <si>
    <t>984 497 638</t>
  </si>
  <si>
    <t>alonso54@ferreteria.es</t>
  </si>
  <si>
    <t>C0055</t>
  </si>
  <si>
    <t>Transportes Moreno S.L.</t>
  </si>
  <si>
    <t>B95499496</t>
  </si>
  <si>
    <t>C/ Mayor, 101</t>
  </si>
  <si>
    <t>28467</t>
  </si>
  <si>
    <t>925 966 752</t>
  </si>
  <si>
    <t>moreno55@transportes.es</t>
  </si>
  <si>
    <t>C0056</t>
  </si>
  <si>
    <t>Farmacia Romero</t>
  </si>
  <si>
    <t>B62764187</t>
  </si>
  <si>
    <t>C/ Mayor, 42</t>
  </si>
  <si>
    <t>28165</t>
  </si>
  <si>
    <t>969 447 560</t>
  </si>
  <si>
    <t>romero56@farmacia.es</t>
  </si>
  <si>
    <t>C0057</t>
  </si>
  <si>
    <t>J37591952</t>
  </si>
  <si>
    <t>C/ Mayor, 44</t>
  </si>
  <si>
    <t>15192</t>
  </si>
  <si>
    <t>997 343 973</t>
  </si>
  <si>
    <t>sanchez57@clinica.es</t>
  </si>
  <si>
    <t>C0058</t>
  </si>
  <si>
    <t>Talleres Blanco</t>
  </si>
  <si>
    <t>B30492049</t>
  </si>
  <si>
    <t>50013</t>
  </si>
  <si>
    <t>965 689 252</t>
  </si>
  <si>
    <t>blanco58@talleres.es</t>
  </si>
  <si>
    <t>C0059</t>
  </si>
  <si>
    <t>Farmacia Ruiz</t>
  </si>
  <si>
    <t>A50597120</t>
  </si>
  <si>
    <t>C/ Real, 71</t>
  </si>
  <si>
    <t>50760</t>
  </si>
  <si>
    <t>983 420 195</t>
  </si>
  <si>
    <t>ruiz59@farmacia.es</t>
  </si>
  <si>
    <t>C0060</t>
  </si>
  <si>
    <t>Ferretería Álvarez S.L.</t>
  </si>
  <si>
    <t>B60764169</t>
  </si>
  <si>
    <t>08753</t>
  </si>
  <si>
    <t>963 130 316</t>
  </si>
  <si>
    <t>alvarez60@ferreteria.es</t>
  </si>
  <si>
    <t>C0061</t>
  </si>
  <si>
    <t>J50792001</t>
  </si>
  <si>
    <t>Rambla de Catalunya, 24</t>
  </si>
  <si>
    <t>46897</t>
  </si>
  <si>
    <t>994 366 808</t>
  </si>
  <si>
    <t>alvarez61@ferreteria.es</t>
  </si>
  <si>
    <t>C0062</t>
  </si>
  <si>
    <t>Farmacia Martín</t>
  </si>
  <si>
    <t>J63223144</t>
  </si>
  <si>
    <t>Rambla de Catalunya, 100</t>
  </si>
  <si>
    <t>29791</t>
  </si>
  <si>
    <t>990 859 469</t>
  </si>
  <si>
    <t>martin62@farmacia.es</t>
  </si>
  <si>
    <t>C0063</t>
  </si>
  <si>
    <t>Clínica Dental Martín</t>
  </si>
  <si>
    <t>A67842141</t>
  </si>
  <si>
    <t>14283</t>
  </si>
  <si>
    <t>973 787 372</t>
  </si>
  <si>
    <t>martin63@clinica.es</t>
  </si>
  <si>
    <t>C0064</t>
  </si>
  <si>
    <t>Clínica Dental Domínguez</t>
  </si>
  <si>
    <t>J92608098</t>
  </si>
  <si>
    <t>Plaza de España, 44</t>
  </si>
  <si>
    <t>12798</t>
  </si>
  <si>
    <t>983 729 204</t>
  </si>
  <si>
    <t>dominguez64@clinica.es</t>
  </si>
  <si>
    <t>C0065</t>
  </si>
  <si>
    <t>Farmacia Castaño</t>
  </si>
  <si>
    <t>B29563015</t>
  </si>
  <si>
    <t>C/ del Sol, 17</t>
  </si>
  <si>
    <t>15664</t>
  </si>
  <si>
    <t>931 263 403</t>
  </si>
  <si>
    <t>castano65@farmacia.es</t>
  </si>
  <si>
    <t>C0066</t>
  </si>
  <si>
    <t>Farmacia Jiménez</t>
  </si>
  <si>
    <t>A12254671</t>
  </si>
  <si>
    <t>C/ Doctor Fleming, 89</t>
  </si>
  <si>
    <t>12811</t>
  </si>
  <si>
    <t>998 445 690</t>
  </si>
  <si>
    <t>jimenez66@farmacia.es</t>
  </si>
  <si>
    <t>C0067</t>
  </si>
  <si>
    <t>A30337041</t>
  </si>
  <si>
    <t>C/ Real, 53</t>
  </si>
  <si>
    <t>48005</t>
  </si>
  <si>
    <t>910 665 449</t>
  </si>
  <si>
    <t>ruiz67@ruiz.es</t>
  </si>
  <si>
    <t>C0068</t>
  </si>
  <si>
    <t>Clínica Dental Castaño</t>
  </si>
  <si>
    <t>B41188527</t>
  </si>
  <si>
    <t>Plaza de España, 117</t>
  </si>
  <si>
    <t>05553</t>
  </si>
  <si>
    <t>994 374 372</t>
  </si>
  <si>
    <t>castano68@clinica.es</t>
  </si>
  <si>
    <t>C0069</t>
  </si>
  <si>
    <t>Transportes Hernández S.L.</t>
  </si>
  <si>
    <t>A56320208</t>
  </si>
  <si>
    <t>Avda. de la Constitución, 47</t>
  </si>
  <si>
    <t>05019</t>
  </si>
  <si>
    <t>960 451 179</t>
  </si>
  <si>
    <t>hernandez69@transportes.es</t>
  </si>
  <si>
    <t>C0070</t>
  </si>
  <si>
    <t>J73298714</t>
  </si>
  <si>
    <t>Plaza de España, 2</t>
  </si>
  <si>
    <t>11906</t>
  </si>
  <si>
    <t>952 411 699</t>
  </si>
  <si>
    <t>hernandez70@panaderia.es</t>
  </si>
  <si>
    <t>C0071</t>
  </si>
  <si>
    <t>Panadería Pérez</t>
  </si>
  <si>
    <t>J85781243</t>
  </si>
  <si>
    <t>C/ Mayor, 130</t>
  </si>
  <si>
    <t>15055</t>
  </si>
  <si>
    <t>969 672 450</t>
  </si>
  <si>
    <t>perez71@panaderia.es</t>
  </si>
  <si>
    <t>C0072</t>
  </si>
  <si>
    <t>Panadería Gil</t>
  </si>
  <si>
    <t>J26245380</t>
  </si>
  <si>
    <t>Plaza de España, 131</t>
  </si>
  <si>
    <t>28522</t>
  </si>
  <si>
    <t>940 176 371</t>
  </si>
  <si>
    <t>gil72@panaderia.es</t>
  </si>
  <si>
    <t>C0073</t>
  </si>
  <si>
    <t>Construcciones Ramírez S.L.U.</t>
  </si>
  <si>
    <t>B30624256</t>
  </si>
  <si>
    <t>Avda. de la Constitución, 111</t>
  </si>
  <si>
    <t>48242</t>
  </si>
  <si>
    <t>978 245 392</t>
  </si>
  <si>
    <t>ramirez73@construcciones.es</t>
  </si>
  <si>
    <t>C0074</t>
  </si>
  <si>
    <t>Clínica Dental Navarro</t>
  </si>
  <si>
    <t>B92547617</t>
  </si>
  <si>
    <t>Paseo de la Castellana, 67</t>
  </si>
  <si>
    <t>15643</t>
  </si>
  <si>
    <t>961 717 226</t>
  </si>
  <si>
    <t>navarro74@clinica.es</t>
  </si>
  <si>
    <t>C0075</t>
  </si>
  <si>
    <t>Clínica Dental Álvarez</t>
  </si>
  <si>
    <t>B53760201</t>
  </si>
  <si>
    <t>29845</t>
  </si>
  <si>
    <t>954 630 502</t>
  </si>
  <si>
    <t>alvarez75@clinica.es</t>
  </si>
  <si>
    <t>C0076</t>
  </si>
  <si>
    <t>Ferretería Ruiz S.L.</t>
  </si>
  <si>
    <t>J93797188</t>
  </si>
  <si>
    <t>Avda. de la Constitución, 126</t>
  </si>
  <si>
    <t>48187</t>
  </si>
  <si>
    <t>990 158 939</t>
  </si>
  <si>
    <t>ruiz76@ferreteria.es</t>
  </si>
  <si>
    <t>C0077</t>
  </si>
  <si>
    <t>Clínica Dental Martínez</t>
  </si>
  <si>
    <t>A13251106</t>
  </si>
  <si>
    <t>Avda. de la Constitución, 69</t>
  </si>
  <si>
    <t>11977</t>
  </si>
  <si>
    <t>993 355 277</t>
  </si>
  <si>
    <t>martinez77@clinica.es</t>
  </si>
  <si>
    <t>C0078</t>
  </si>
  <si>
    <t>Ferretería Moreno S.L.</t>
  </si>
  <si>
    <t>J26027522</t>
  </si>
  <si>
    <t>C/ San Juan, 50</t>
  </si>
  <si>
    <t>33128</t>
  </si>
  <si>
    <t>996 202 475</t>
  </si>
  <si>
    <t>moreno78@ferreteria.es</t>
  </si>
  <si>
    <t>C0079</t>
  </si>
  <si>
    <t>Transportes Sánchez S.L.</t>
  </si>
  <si>
    <t>J51259463</t>
  </si>
  <si>
    <t>Avda. de la Constitución, 20</t>
  </si>
  <si>
    <t>15617</t>
  </si>
  <si>
    <t>945 176 783</t>
  </si>
  <si>
    <t>sanchez79@transportes.es</t>
  </si>
  <si>
    <t>C0080</t>
  </si>
  <si>
    <t>A80033663</t>
  </si>
  <si>
    <t>C/ San Juan, 134</t>
  </si>
  <si>
    <t>50914</t>
  </si>
  <si>
    <t>998 966 949</t>
  </si>
  <si>
    <t>garcia80@talleres.es</t>
  </si>
  <si>
    <t>C0081</t>
  </si>
  <si>
    <t>Torres &amp; Asociados</t>
  </si>
  <si>
    <t>B29794172</t>
  </si>
  <si>
    <t>Plaza de España, 7</t>
  </si>
  <si>
    <t>28903</t>
  </si>
  <si>
    <t>993 605 225</t>
  </si>
  <si>
    <t>torres81@torres.es</t>
  </si>
  <si>
    <t>C0082</t>
  </si>
  <si>
    <t>Construcciones Alonso S.L.U.</t>
  </si>
  <si>
    <t>A76202249</t>
  </si>
  <si>
    <t>C/ Doctor Fleming, 39</t>
  </si>
  <si>
    <t>28251</t>
  </si>
  <si>
    <t>954 558 197</t>
  </si>
  <si>
    <t>alonso82@construcciones.es</t>
  </si>
  <si>
    <t>C0083</t>
  </si>
  <si>
    <t>Panadería Ibáñez</t>
  </si>
  <si>
    <t>J11938259</t>
  </si>
  <si>
    <t>Rambla de Catalunya, 117</t>
  </si>
  <si>
    <t>28664</t>
  </si>
  <si>
    <t>954 191 861</t>
  </si>
  <si>
    <t>ibanez83@panaderia.es</t>
  </si>
  <si>
    <t>C0084</t>
  </si>
  <si>
    <t>Construcciones Díaz S.L.U.</t>
  </si>
  <si>
    <t>B96728741</t>
  </si>
  <si>
    <t>C/ Mayor, 49</t>
  </si>
  <si>
    <t>05526</t>
  </si>
  <si>
    <t>987 194 271</t>
  </si>
  <si>
    <t>diaz84@construcciones.es</t>
  </si>
  <si>
    <t>C0085</t>
  </si>
  <si>
    <t>A18929020</t>
  </si>
  <si>
    <t>05400</t>
  </si>
  <si>
    <t>920 562 721</t>
  </si>
  <si>
    <t>garcia85@distribuciones.es</t>
  </si>
  <si>
    <t>C0086</t>
  </si>
  <si>
    <t>Talleres Martín</t>
  </si>
  <si>
    <t>B95914310</t>
  </si>
  <si>
    <t>Avda. de la Constitución, 67</t>
  </si>
  <si>
    <t>50723</t>
  </si>
  <si>
    <t>924 892 760</t>
  </si>
  <si>
    <t>martin86@talleres.es</t>
  </si>
  <si>
    <t>C0087</t>
  </si>
  <si>
    <t>Jiménez &amp; Asociados</t>
  </si>
  <si>
    <t>J42904418</t>
  </si>
  <si>
    <t>C/ San Juan, 112</t>
  </si>
  <si>
    <t>08215</t>
  </si>
  <si>
    <t>963 922 273</t>
  </si>
  <si>
    <t>jimenez87@jimenez.es</t>
  </si>
  <si>
    <t>C0088</t>
  </si>
  <si>
    <t>Construcciones Ibáñez S.L.U.</t>
  </si>
  <si>
    <t>A49067502</t>
  </si>
  <si>
    <t>C/ Mayor, 69</t>
  </si>
  <si>
    <t>14814</t>
  </si>
  <si>
    <t>968 446 493</t>
  </si>
  <si>
    <t>ibanez88@construcciones.es</t>
  </si>
  <si>
    <t>C0089</t>
  </si>
  <si>
    <t>B17631899</t>
  </si>
  <si>
    <t>C/ San Juan, 119</t>
  </si>
  <si>
    <t>26273</t>
  </si>
  <si>
    <t>991 452 608</t>
  </si>
  <si>
    <t>romero89@farmacia.es</t>
  </si>
  <si>
    <t>C0090</t>
  </si>
  <si>
    <t>Talleres López</t>
  </si>
  <si>
    <t>B51176248</t>
  </si>
  <si>
    <t>C/ Doctor Fleming, 135</t>
  </si>
  <si>
    <t>08646</t>
  </si>
  <si>
    <t>931 154 510</t>
  </si>
  <si>
    <t>lopez90@talleres.es</t>
  </si>
  <si>
    <t>C0091</t>
  </si>
  <si>
    <t>Farmacia Peña</t>
  </si>
  <si>
    <t>B85971071</t>
  </si>
  <si>
    <t>41892</t>
  </si>
  <si>
    <t>975 577 362</t>
  </si>
  <si>
    <t>pena91@farmacia.es</t>
  </si>
  <si>
    <t>C0092</t>
  </si>
  <si>
    <t>J65132971</t>
  </si>
  <si>
    <t>C/ Mayor, 35</t>
  </si>
  <si>
    <t>05353</t>
  </si>
  <si>
    <t>990 115 439</t>
  </si>
  <si>
    <t>vazquez92@vazquez.es</t>
  </si>
  <si>
    <t>C0093</t>
  </si>
  <si>
    <t>Transportes Molina S.L.</t>
  </si>
  <si>
    <t>B67056886</t>
  </si>
  <si>
    <t>Paseo de la Castellana, 88</t>
  </si>
  <si>
    <t>26586</t>
  </si>
  <si>
    <t>946 752 861</t>
  </si>
  <si>
    <t>molina93@transportes.es</t>
  </si>
  <si>
    <t>C0094</t>
  </si>
  <si>
    <t>Panadería Ruiz</t>
  </si>
  <si>
    <t>J93044508</t>
  </si>
  <si>
    <t>Plaza de España, 30</t>
  </si>
  <si>
    <t>33202</t>
  </si>
  <si>
    <t>954 447 418</t>
  </si>
  <si>
    <t>ruiz94@panaderia.es</t>
  </si>
  <si>
    <t>C0095</t>
  </si>
  <si>
    <t>Transportes Castaño S.L.</t>
  </si>
  <si>
    <t>B48748149</t>
  </si>
  <si>
    <t>12594</t>
  </si>
  <si>
    <t>962 805 392</t>
  </si>
  <si>
    <t>castano95@transportes.es</t>
  </si>
  <si>
    <t>C0096</t>
  </si>
  <si>
    <t>J12847204</t>
  </si>
  <si>
    <t>Plaza de España, 36</t>
  </si>
  <si>
    <t>46751</t>
  </si>
  <si>
    <t>973 488 437</t>
  </si>
  <si>
    <t>diaz96@construcciones.es</t>
  </si>
  <si>
    <t>C0097</t>
  </si>
  <si>
    <t>Ferretería Jiménez S.L.</t>
  </si>
  <si>
    <t>J36085664</t>
  </si>
  <si>
    <t>C/ Real, 116</t>
  </si>
  <si>
    <t>11444</t>
  </si>
  <si>
    <t>917 244 372</t>
  </si>
  <si>
    <t>jimenez97@ferreteria.es</t>
  </si>
  <si>
    <t>C0098</t>
  </si>
  <si>
    <t>A36859997</t>
  </si>
  <si>
    <t>Paseo de la Castellana, 127</t>
  </si>
  <si>
    <t>26166</t>
  </si>
  <si>
    <t>985 968 192</t>
  </si>
  <si>
    <t>gil98@panaderia.es</t>
  </si>
  <si>
    <t>C0099</t>
  </si>
  <si>
    <t>Farmacia Álvarez</t>
  </si>
  <si>
    <t>B54655942</t>
  </si>
  <si>
    <t>C/ del Sol, 129</t>
  </si>
  <si>
    <t>46574</t>
  </si>
  <si>
    <t>963 573 790</t>
  </si>
  <si>
    <t>alvarez99@farmacia.es</t>
  </si>
  <si>
    <t>C0100</t>
  </si>
  <si>
    <t>Farmacia Blanco</t>
  </si>
  <si>
    <t>B56691368</t>
  </si>
  <si>
    <t>C/ Real, 7</t>
  </si>
  <si>
    <t>50983</t>
  </si>
  <si>
    <t>921 323 720</t>
  </si>
  <si>
    <t>blanco100@farmacia.es</t>
  </si>
  <si>
    <t>C0101</t>
  </si>
  <si>
    <t>Ramos e Hijos S.L.</t>
  </si>
  <si>
    <t>B43244657</t>
  </si>
  <si>
    <t>C/ San Juan, 44</t>
  </si>
  <si>
    <t>28853</t>
  </si>
  <si>
    <t>950 990 105</t>
  </si>
  <si>
    <t>ramos101@ramos.es</t>
  </si>
  <si>
    <t>C0102</t>
  </si>
  <si>
    <t>Transportes Gómez S.L.</t>
  </si>
  <si>
    <t>B48634351</t>
  </si>
  <si>
    <t>C/ Doctor Fleming, 7</t>
  </si>
  <si>
    <t>08342</t>
  </si>
  <si>
    <t>966 648 638</t>
  </si>
  <si>
    <t>gomez102@transportes.es</t>
  </si>
  <si>
    <t>C0103</t>
  </si>
  <si>
    <t>Farmacia Domínguez</t>
  </si>
  <si>
    <t>B78035533</t>
  </si>
  <si>
    <t>48523</t>
  </si>
  <si>
    <t>923 482 748</t>
  </si>
  <si>
    <t>dominguez103@farmacia.es</t>
  </si>
  <si>
    <t>C0104</t>
  </si>
  <si>
    <t>Clínica Dental Romero</t>
  </si>
  <si>
    <t>B53492370</t>
  </si>
  <si>
    <t>C/ Mayor, 135</t>
  </si>
  <si>
    <t>46111</t>
  </si>
  <si>
    <t>969 649 734</t>
  </si>
  <si>
    <t>romero104@clinica.es</t>
  </si>
  <si>
    <t>C0105</t>
  </si>
  <si>
    <t>A52626579</t>
  </si>
  <si>
    <t>Paseo de la Castellana, 38</t>
  </si>
  <si>
    <t>08059</t>
  </si>
  <si>
    <t>926 218 215</t>
  </si>
  <si>
    <t>blanco105@construcciones.es</t>
  </si>
  <si>
    <t>C0106</t>
  </si>
  <si>
    <t>Clínica Dental López</t>
  </si>
  <si>
    <t>J77169325</t>
  </si>
  <si>
    <t>C/ Real, 102</t>
  </si>
  <si>
    <t>12651</t>
  </si>
  <si>
    <t>945 598 368</t>
  </si>
  <si>
    <t>lopez106@clinica.es</t>
  </si>
  <si>
    <t>C0107</t>
  </si>
  <si>
    <t>Ferretería Molina S.L.</t>
  </si>
  <si>
    <t>A95974418</t>
  </si>
  <si>
    <t>Avda. de la Constitución, 40</t>
  </si>
  <si>
    <t>50847</t>
  </si>
  <si>
    <t>952 780 612</t>
  </si>
  <si>
    <t>molina107@ferreteria.es</t>
  </si>
  <si>
    <t>C0108</t>
  </si>
  <si>
    <t>Moreno &amp; Asociados</t>
  </si>
  <si>
    <t>J42313264</t>
  </si>
  <si>
    <t>C/ del Sol, 121</t>
  </si>
  <si>
    <t>08991</t>
  </si>
  <si>
    <t>972 957 442</t>
  </si>
  <si>
    <t>moreno108@moreno.es</t>
  </si>
  <si>
    <t>C0109</t>
  </si>
  <si>
    <t>Ferretería Gil S.L.</t>
  </si>
  <si>
    <t>A20750518</t>
  </si>
  <si>
    <t>C/ Doctor Fleming, 68</t>
  </si>
  <si>
    <t>15111</t>
  </si>
  <si>
    <t>991 562 127</t>
  </si>
  <si>
    <t>gil109@ferreteria.es</t>
  </si>
  <si>
    <t>C0110</t>
  </si>
  <si>
    <t>Construcciones García S.L.U.</t>
  </si>
  <si>
    <t>A84804736</t>
  </si>
  <si>
    <t>Avda. de la Constitución, 61</t>
  </si>
  <si>
    <t>28065</t>
  </si>
  <si>
    <t>958 179 788</t>
  </si>
  <si>
    <t>garcia110@construcciones.es</t>
  </si>
  <si>
    <t>C0111</t>
  </si>
  <si>
    <t>Transportes Vázquez S.L.</t>
  </si>
  <si>
    <t>B70656471</t>
  </si>
  <si>
    <t>C/ San Juan, 18</t>
  </si>
  <si>
    <t>50410</t>
  </si>
  <si>
    <t>921 138 775</t>
  </si>
  <si>
    <t>vazquez111@transportes.es</t>
  </si>
  <si>
    <t>C0112</t>
  </si>
  <si>
    <t>Ferretería Ramírez S.L.</t>
  </si>
  <si>
    <t>A73630622</t>
  </si>
  <si>
    <t>C/ Doctor Fleming, 43</t>
  </si>
  <si>
    <t>05979</t>
  </si>
  <si>
    <t>915 846 746</t>
  </si>
  <si>
    <t>ramirez112@ferreteria.es</t>
  </si>
  <si>
    <t>C0113</t>
  </si>
  <si>
    <t>Díaz &amp; Asociados</t>
  </si>
  <si>
    <t>J22667755</t>
  </si>
  <si>
    <t>Avda. de la Constitución, 23</t>
  </si>
  <si>
    <t>28478</t>
  </si>
  <si>
    <t>928 339 992</t>
  </si>
  <si>
    <t>diaz113@diaz.es</t>
  </si>
  <si>
    <t>C0114</t>
  </si>
  <si>
    <t>Talleres Serrano</t>
  </si>
  <si>
    <t>A20781784</t>
  </si>
  <si>
    <t>C/ Doctor Fleming, 137</t>
  </si>
  <si>
    <t>28667</t>
  </si>
  <si>
    <t>956 234 482</t>
  </si>
  <si>
    <t>serrano114@talleres.es</t>
  </si>
  <si>
    <t>C0115</t>
  </si>
  <si>
    <t>Construcciones Peña S.L.U.</t>
  </si>
  <si>
    <t>B12477812</t>
  </si>
  <si>
    <t>C/ Doctor Fleming, 38</t>
  </si>
  <si>
    <t>15152</t>
  </si>
  <si>
    <t>970 441 579</t>
  </si>
  <si>
    <t>pena115@construcciones.es</t>
  </si>
  <si>
    <t>C0116</t>
  </si>
  <si>
    <t>García &amp; Asociados</t>
  </si>
  <si>
    <t>J36601482</t>
  </si>
  <si>
    <t>C/ Real, 12</t>
  </si>
  <si>
    <t>11249</t>
  </si>
  <si>
    <t>965 595 669</t>
  </si>
  <si>
    <t>garcia116@garcia.es</t>
  </si>
  <si>
    <t>C0117</t>
  </si>
  <si>
    <t>Construcciones Jiménez S.L.U.</t>
  </si>
  <si>
    <t>A29203503</t>
  </si>
  <si>
    <t>33600</t>
  </si>
  <si>
    <t>932 686 927</t>
  </si>
  <si>
    <t>jimenez117@construcciones.es</t>
  </si>
  <si>
    <t>C0118</t>
  </si>
  <si>
    <t>Transportes Navarro S.L.</t>
  </si>
  <si>
    <t>A43928859</t>
  </si>
  <si>
    <t>Paseo de la Castellana, 16</t>
  </si>
  <si>
    <t>14345</t>
  </si>
  <si>
    <t>984 433 107</t>
  </si>
  <si>
    <t>navarro118@transportes.es</t>
  </si>
  <si>
    <t>C0119</t>
  </si>
  <si>
    <t>Construcciones Ramos S.L.U.</t>
  </si>
  <si>
    <t>J71241745</t>
  </si>
  <si>
    <t>Paseo de la Castellana, 31</t>
  </si>
  <si>
    <t>41834</t>
  </si>
  <si>
    <t>927 896 768</t>
  </si>
  <si>
    <t>ramos119@construcciones.es</t>
  </si>
  <si>
    <t>C0120</t>
  </si>
  <si>
    <t>A29330462</t>
  </si>
  <si>
    <t>C/ San Juan, 118</t>
  </si>
  <si>
    <t>15274</t>
  </si>
  <si>
    <t>990 718 463</t>
  </si>
  <si>
    <t>vazquez120@vazquez.es</t>
  </si>
  <si>
    <t>C0121</t>
  </si>
  <si>
    <t>Transportes Muñoz S.L.</t>
  </si>
  <si>
    <t>J60378052</t>
  </si>
  <si>
    <t>C/ San Juan, 103</t>
  </si>
  <si>
    <t>46762</t>
  </si>
  <si>
    <t>993 441 892</t>
  </si>
  <si>
    <t>munoz121@transportes.es</t>
  </si>
  <si>
    <t>C0122</t>
  </si>
  <si>
    <t>Distribuciones Núñez S.A.</t>
  </si>
  <si>
    <t>B94157429</t>
  </si>
  <si>
    <t>Plaza de España, 15</t>
  </si>
  <si>
    <t>50673</t>
  </si>
  <si>
    <t>954 171 373</t>
  </si>
  <si>
    <t>nunez122@distribuciones.es</t>
  </si>
  <si>
    <t>C0123</t>
  </si>
  <si>
    <t>A59052046</t>
  </si>
  <si>
    <t>Avda. de la Constitución, 56</t>
  </si>
  <si>
    <t>12602</t>
  </si>
  <si>
    <t>975 676 494</t>
  </si>
  <si>
    <t>torres123@construcciones.es</t>
  </si>
  <si>
    <t>C0124</t>
  </si>
  <si>
    <t>Farmacia García</t>
  </si>
  <si>
    <t>B98157415</t>
  </si>
  <si>
    <t>Paseo de la Castellana, 131</t>
  </si>
  <si>
    <t>15243</t>
  </si>
  <si>
    <t>946 632 663</t>
  </si>
  <si>
    <t>garcia124@farmacia.es</t>
  </si>
  <si>
    <t>C0125</t>
  </si>
  <si>
    <t>B32377723</t>
  </si>
  <si>
    <t>C/ Real, 96</t>
  </si>
  <si>
    <t>26458</t>
  </si>
  <si>
    <t>965 480 492</t>
  </si>
  <si>
    <t>ramos125@ramos.es</t>
  </si>
  <si>
    <t>C0126</t>
  </si>
  <si>
    <t>Ramírez e Hijos S.L.</t>
  </si>
  <si>
    <t>J48495181</t>
  </si>
  <si>
    <t>11195</t>
  </si>
  <si>
    <t>959 571 906</t>
  </si>
  <si>
    <t>ramirez126@ramirez.es</t>
  </si>
  <si>
    <t>C0127</t>
  </si>
  <si>
    <t>Clínica Dental Ramos</t>
  </si>
  <si>
    <t>B21315719</t>
  </si>
  <si>
    <t>C/ Doctor Fleming, 54</t>
  </si>
  <si>
    <t>50274</t>
  </si>
  <si>
    <t>927 551 994</t>
  </si>
  <si>
    <t>ramos127@clinica.es</t>
  </si>
  <si>
    <t>C0128</t>
  </si>
  <si>
    <t>Muñoz &amp; Asociados</t>
  </si>
  <si>
    <t>A72700827</t>
  </si>
  <si>
    <t>Avda. de la Constitución, 127</t>
  </si>
  <si>
    <t>26742</t>
  </si>
  <si>
    <t>940 499 390</t>
  </si>
  <si>
    <t>munoz128@munoz.es</t>
  </si>
  <si>
    <t>C0129</t>
  </si>
  <si>
    <t>A81452740</t>
  </si>
  <si>
    <t>C/ Mayor, 71</t>
  </si>
  <si>
    <t>14915</t>
  </si>
  <si>
    <t>935 188 578</t>
  </si>
  <si>
    <t>vazquez129@ferreteria.es</t>
  </si>
  <si>
    <t>C0130</t>
  </si>
  <si>
    <t>Talleres Vázquez</t>
  </si>
  <si>
    <t>A70993355</t>
  </si>
  <si>
    <t>Plaza de España, 85</t>
  </si>
  <si>
    <t>12220</t>
  </si>
  <si>
    <t>918 138 297</t>
  </si>
  <si>
    <t>vazquez130@talleres.es</t>
  </si>
  <si>
    <t>C0131</t>
  </si>
  <si>
    <t>Transportes Peña S.L.</t>
  </si>
  <si>
    <t>B74595092</t>
  </si>
  <si>
    <t>Avda. de la Constitución, 82</t>
  </si>
  <si>
    <t>28612</t>
  </si>
  <si>
    <t>970 375 339</t>
  </si>
  <si>
    <t>pena131@transportes.es</t>
  </si>
  <si>
    <t>C0132</t>
  </si>
  <si>
    <t>Hernández e Hijos S.L.</t>
  </si>
  <si>
    <t>J31308728</t>
  </si>
  <si>
    <t>C/ San Juan, 10</t>
  </si>
  <si>
    <t>28682</t>
  </si>
  <si>
    <t>929 899 953</t>
  </si>
  <si>
    <t>hernandez132@hernandez.es</t>
  </si>
  <si>
    <t>C0133</t>
  </si>
  <si>
    <t>Talleres Gómez</t>
  </si>
  <si>
    <t>J70512659</t>
  </si>
  <si>
    <t>Avda. de la Constitución, 95</t>
  </si>
  <si>
    <t>48265</t>
  </si>
  <si>
    <t>998 216 595</t>
  </si>
  <si>
    <t>gomez133@talleres.es</t>
  </si>
  <si>
    <t>C0134</t>
  </si>
  <si>
    <t>J13720874</t>
  </si>
  <si>
    <t>C/ San Juan, 116</t>
  </si>
  <si>
    <t>08730</t>
  </si>
  <si>
    <t>976 337 359</t>
  </si>
  <si>
    <t>perez134@panaderia.es</t>
  </si>
  <si>
    <t>C0135</t>
  </si>
  <si>
    <t>A59625449</t>
  </si>
  <si>
    <t>Avda. de la Constitución, 132</t>
  </si>
  <si>
    <t>29053</t>
  </si>
  <si>
    <t>930 642 504</t>
  </si>
  <si>
    <t>alonso135@ferreteria.es</t>
  </si>
  <si>
    <t>C0136</t>
  </si>
  <si>
    <t>B86720556</t>
  </si>
  <si>
    <t>C/ del Sol, 70</t>
  </si>
  <si>
    <t>11343</t>
  </si>
  <si>
    <t>922 688 443</t>
  </si>
  <si>
    <t>ibanez136@farmacia.es</t>
  </si>
  <si>
    <t>C0137</t>
  </si>
  <si>
    <t>Farmacia Agüero</t>
  </si>
  <si>
    <t>A82393221</t>
  </si>
  <si>
    <t>C/ Mayor, 89</t>
  </si>
  <si>
    <t>28081</t>
  </si>
  <si>
    <t>955 773 145</t>
  </si>
  <si>
    <t>aguero137@farmacia.es</t>
  </si>
  <si>
    <t>C0138</t>
  </si>
  <si>
    <t>Construcciones Navarro S.L.U.</t>
  </si>
  <si>
    <t>B22901649</t>
  </si>
  <si>
    <t>Avda. de la Constitución, 24</t>
  </si>
  <si>
    <t>12410</t>
  </si>
  <si>
    <t>966 908 872</t>
  </si>
  <si>
    <t>navarro138@construcciones.es</t>
  </si>
  <si>
    <t>C0139</t>
  </si>
  <si>
    <t>J49596595</t>
  </si>
  <si>
    <t>Rambla de Catalunya, 46</t>
  </si>
  <si>
    <t>41367</t>
  </si>
  <si>
    <t>925 738 663</t>
  </si>
  <si>
    <t>nunez139@nunez.es</t>
  </si>
  <si>
    <t>C0140</t>
  </si>
  <si>
    <t>Panadería Jiménez</t>
  </si>
  <si>
    <t>J57598296</t>
  </si>
  <si>
    <t>Plaza de España, 128</t>
  </si>
  <si>
    <t>05657</t>
  </si>
  <si>
    <t>946 306 903</t>
  </si>
  <si>
    <t>jimenez140@panaderia.es</t>
  </si>
  <si>
    <t>C0141</t>
  </si>
  <si>
    <t>J75700959</t>
  </si>
  <si>
    <t>Paseo de la Castellana, 35</t>
  </si>
  <si>
    <t>28590</t>
  </si>
  <si>
    <t>955 539 956</t>
  </si>
  <si>
    <t>vazquez141@talleres.es</t>
  </si>
  <si>
    <t>C0142</t>
  </si>
  <si>
    <t>Panadería Vázquez</t>
  </si>
  <si>
    <t>B20671116</t>
  </si>
  <si>
    <t>C/ Mayor, 125</t>
  </si>
  <si>
    <t>48351</t>
  </si>
  <si>
    <t>916 155 625</t>
  </si>
  <si>
    <t>vazquez142@panaderia.es</t>
  </si>
  <si>
    <t>C0143</t>
  </si>
  <si>
    <t>B36311431</t>
  </si>
  <si>
    <t>Plaza de España, 55</t>
  </si>
  <si>
    <t>08847</t>
  </si>
  <si>
    <t>929 996 402</t>
  </si>
  <si>
    <t>vazquez143@ferreteria.es</t>
  </si>
  <si>
    <t>C0144</t>
  </si>
  <si>
    <t>Castaño e Hijos S.L.</t>
  </si>
  <si>
    <t>B95628727</t>
  </si>
  <si>
    <t>C/ Real, 22</t>
  </si>
  <si>
    <t>12896</t>
  </si>
  <si>
    <t>955 114 426</t>
  </si>
  <si>
    <t>castano144@castano.es</t>
  </si>
  <si>
    <t>C0145</t>
  </si>
  <si>
    <t>Panadería Martínez</t>
  </si>
  <si>
    <t>J18375730</t>
  </si>
  <si>
    <t>C/ Mayor, 37</t>
  </si>
  <si>
    <t>48092</t>
  </si>
  <si>
    <t>993 566 618</t>
  </si>
  <si>
    <t>martinez145@panaderia.es</t>
  </si>
  <si>
    <t>C0146</t>
  </si>
  <si>
    <t>B57583161</t>
  </si>
  <si>
    <t>Rambla de Catalunya, 69</t>
  </si>
  <si>
    <t>29970</t>
  </si>
  <si>
    <t>913 819 583</t>
  </si>
  <si>
    <t>molina146@ferreteria.es</t>
  </si>
  <si>
    <t>C0147</t>
  </si>
  <si>
    <t>Ramírez &amp; Asociados</t>
  </si>
  <si>
    <t>A76046904</t>
  </si>
  <si>
    <t>C/ del Sol, 131</t>
  </si>
  <si>
    <t>46934</t>
  </si>
  <si>
    <t>938 937 248</t>
  </si>
  <si>
    <t>ramirez147@ramirez.es</t>
  </si>
  <si>
    <t>C0148</t>
  </si>
  <si>
    <t>Torres e Hijos S.L.</t>
  </si>
  <si>
    <t>A69745436</t>
  </si>
  <si>
    <t>Avda. de la Constitución, 97</t>
  </si>
  <si>
    <t>11018</t>
  </si>
  <si>
    <t>939 355 888</t>
  </si>
  <si>
    <t>torres148@torres.es</t>
  </si>
  <si>
    <t>C0149</t>
  </si>
  <si>
    <t>Talleres Pérez</t>
  </si>
  <si>
    <t>A24064671</t>
  </si>
  <si>
    <t>C/ Mayor, 100</t>
  </si>
  <si>
    <t>12313</t>
  </si>
  <si>
    <t>970 674 547</t>
  </si>
  <si>
    <t>perez149@talleres.es</t>
  </si>
  <si>
    <t>C0150</t>
  </si>
  <si>
    <t>Talleres Ramos</t>
  </si>
  <si>
    <t>J37768037</t>
  </si>
  <si>
    <t>Paseo de la Castellana, 42</t>
  </si>
  <si>
    <t>29727</t>
  </si>
  <si>
    <t>949 553 975</t>
  </si>
  <si>
    <t>ramos150@talleres.es</t>
  </si>
  <si>
    <t>C0151</t>
  </si>
  <si>
    <t>Farmacia Torres</t>
  </si>
  <si>
    <t>B29521137</t>
  </si>
  <si>
    <t>C/ Doctor Fleming, 136</t>
  </si>
  <si>
    <t>05474</t>
  </si>
  <si>
    <t>962 835 741</t>
  </si>
  <si>
    <t>torres151@farmacia.es</t>
  </si>
  <si>
    <t>C0152</t>
  </si>
  <si>
    <t>Panadería Núñez</t>
  </si>
  <si>
    <t>A41183228</t>
  </si>
  <si>
    <t>Paseo de la Castellana, 80</t>
  </si>
  <si>
    <t>12327</t>
  </si>
  <si>
    <t>915 525 606</t>
  </si>
  <si>
    <t>nunez152@panaderia.es</t>
  </si>
  <si>
    <t>C0153</t>
  </si>
  <si>
    <t>A48047656</t>
  </si>
  <si>
    <t>C/ del Sol, 79</t>
  </si>
  <si>
    <t>28308</t>
  </si>
  <si>
    <t>972 385 347</t>
  </si>
  <si>
    <t>jimenez153@panaderia.es</t>
  </si>
  <si>
    <t>C0154</t>
  </si>
  <si>
    <t>Talleres Navarro</t>
  </si>
  <si>
    <t>A34468925</t>
  </si>
  <si>
    <t>C/ Real, 120</t>
  </si>
  <si>
    <t>05336</t>
  </si>
  <si>
    <t>927 264 193</t>
  </si>
  <si>
    <t>navarro154@talleres.es</t>
  </si>
  <si>
    <t>C0155</t>
  </si>
  <si>
    <t>J29722652</t>
  </si>
  <si>
    <t>11866</t>
  </si>
  <si>
    <t>932 283 672</t>
  </si>
  <si>
    <t>jimenez155@panaderia.es</t>
  </si>
  <si>
    <t>C0156</t>
  </si>
  <si>
    <t>B12415636</t>
  </si>
  <si>
    <t>C/ Real, 10</t>
  </si>
  <si>
    <t>05036</t>
  </si>
  <si>
    <t>965 543 632</t>
  </si>
  <si>
    <t>moreno156@transportes.es</t>
  </si>
  <si>
    <t>C0157</t>
  </si>
  <si>
    <t>B69523536</t>
  </si>
  <si>
    <t>C/ del Sol, 117</t>
  </si>
  <si>
    <t>08579</t>
  </si>
  <si>
    <t>955 183 557</t>
  </si>
  <si>
    <t>pena157@construcciones.es</t>
  </si>
  <si>
    <t>C0158</t>
  </si>
  <si>
    <t>Panadería Navarro</t>
  </si>
  <si>
    <t>B87668416</t>
  </si>
  <si>
    <t>C/ Doctor Fleming, 118</t>
  </si>
  <si>
    <t>08121</t>
  </si>
  <si>
    <t>937 658 793</t>
  </si>
  <si>
    <t>navarro158@panaderia.es</t>
  </si>
  <si>
    <t>C0159</t>
  </si>
  <si>
    <t>Clínica Dental Hernández</t>
  </si>
  <si>
    <t>B94756484</t>
  </si>
  <si>
    <t>05067</t>
  </si>
  <si>
    <t>969 711 377</t>
  </si>
  <si>
    <t>hernandez159@clinica.es</t>
  </si>
  <si>
    <t>C0160</t>
  </si>
  <si>
    <t>B13611699</t>
  </si>
  <si>
    <t>Paseo de la Castellana, 53</t>
  </si>
  <si>
    <t>14643</t>
  </si>
  <si>
    <t>985 385 592</t>
  </si>
  <si>
    <t>sanchez160@farmacia.es</t>
  </si>
  <si>
    <t>C0161</t>
  </si>
  <si>
    <t>Farmacia Gómez</t>
  </si>
  <si>
    <t>J23615836</t>
  </si>
  <si>
    <t>C/ Doctor Fleming, 63</t>
  </si>
  <si>
    <t>29597</t>
  </si>
  <si>
    <t>927 441 381</t>
  </si>
  <si>
    <t>gomez161@farmacia.es</t>
  </si>
  <si>
    <t>C0162</t>
  </si>
  <si>
    <t>Talleres Agüero</t>
  </si>
  <si>
    <t>B30866543</t>
  </si>
  <si>
    <t>Plaza de España, 68</t>
  </si>
  <si>
    <t>41006</t>
  </si>
  <si>
    <t>953 767 308</t>
  </si>
  <si>
    <t>aguero162@talleres.es</t>
  </si>
  <si>
    <t>C0163</t>
  </si>
  <si>
    <t>B35403484</t>
  </si>
  <si>
    <t>C/ Mayor, 137</t>
  </si>
  <si>
    <t>11333</t>
  </si>
  <si>
    <t>915 122 112</t>
  </si>
  <si>
    <t>nunez163@farmacia.es</t>
  </si>
  <si>
    <t>C0164</t>
  </si>
  <si>
    <t>J94406285</t>
  </si>
  <si>
    <t>C/ Real, 47</t>
  </si>
  <si>
    <t>33388</t>
  </si>
  <si>
    <t>918 903 440</t>
  </si>
  <si>
    <t>jimenez164@jimenez.es</t>
  </si>
  <si>
    <t>C0165</t>
  </si>
  <si>
    <t>Transportes Gil S.L.</t>
  </si>
  <si>
    <t>J32165649</t>
  </si>
  <si>
    <t>48122</t>
  </si>
  <si>
    <t>983 224 162</t>
  </si>
  <si>
    <t>gil165@transportes.es</t>
  </si>
  <si>
    <t>C0166</t>
  </si>
  <si>
    <t>Romero e Hijos S.L.</t>
  </si>
  <si>
    <t>A18632384</t>
  </si>
  <si>
    <t>C/ Mayor, 67</t>
  </si>
  <si>
    <t>46862</t>
  </si>
  <si>
    <t>989 143 433</t>
  </si>
  <si>
    <t>romero166@romero.es</t>
  </si>
  <si>
    <t>C0167</t>
  </si>
  <si>
    <t>Ferretería Martín S.L.</t>
  </si>
  <si>
    <t>J92793033</t>
  </si>
  <si>
    <t>C/ del Sol, 27</t>
  </si>
  <si>
    <t>28530</t>
  </si>
  <si>
    <t>971 697 928</t>
  </si>
  <si>
    <t>martin167@ferreteria.es</t>
  </si>
  <si>
    <t>C0168</t>
  </si>
  <si>
    <t>Clínica Dental García</t>
  </si>
  <si>
    <t>B26407159</t>
  </si>
  <si>
    <t>C/ del Sol, 115</t>
  </si>
  <si>
    <t>41870</t>
  </si>
  <si>
    <t>915 583 262</t>
  </si>
  <si>
    <t>garcia168@clinica.es</t>
  </si>
  <si>
    <t>C0169</t>
  </si>
  <si>
    <t>A37274074</t>
  </si>
  <si>
    <t>Avda. de la Constitución, 112</t>
  </si>
  <si>
    <t>46981</t>
  </si>
  <si>
    <t>934 499 479</t>
  </si>
  <si>
    <t>garcia169@clinica.es</t>
  </si>
  <si>
    <t>C0170</t>
  </si>
  <si>
    <t>Transportes Álvarez S.L.</t>
  </si>
  <si>
    <t>J18151715</t>
  </si>
  <si>
    <t>Avda. de la Constitución, 108</t>
  </si>
  <si>
    <t>41234</t>
  </si>
  <si>
    <t>972 770 247</t>
  </si>
  <si>
    <t>alvarez170@transportes.es</t>
  </si>
  <si>
    <t>C0171</t>
  </si>
  <si>
    <t>A96450674</t>
  </si>
  <si>
    <t>46144</t>
  </si>
  <si>
    <t>921 583 724</t>
  </si>
  <si>
    <t>martin171@clinica.es</t>
  </si>
  <si>
    <t>C0172</t>
  </si>
  <si>
    <t>B27076705</t>
  </si>
  <si>
    <t>C/ Real, 65</t>
  </si>
  <si>
    <t>28996</t>
  </si>
  <si>
    <t>984 316 877</t>
  </si>
  <si>
    <t>gomez172@distribuciones.es</t>
  </si>
  <si>
    <t>C0173</t>
  </si>
  <si>
    <t>Farmacia Serrano</t>
  </si>
  <si>
    <t>J62048230</t>
  </si>
  <si>
    <t>C/ Doctor Fleming, 72</t>
  </si>
  <si>
    <t>48728</t>
  </si>
  <si>
    <t>922 203 510</t>
  </si>
  <si>
    <t>serrano173@farmacia.es</t>
  </si>
  <si>
    <t>C0174</t>
  </si>
  <si>
    <t>Navarro e Hijos S.L.</t>
  </si>
  <si>
    <t>B20927856</t>
  </si>
  <si>
    <t>Paseo de la Castellana, 134</t>
  </si>
  <si>
    <t>29212</t>
  </si>
  <si>
    <t>912 454 395</t>
  </si>
  <si>
    <t>navarro174@navarro.es</t>
  </si>
  <si>
    <t>C0175</t>
  </si>
  <si>
    <t>Transportes Romero S.L.</t>
  </si>
  <si>
    <t>J73136689</t>
  </si>
  <si>
    <t>C/ del Sol, 61</t>
  </si>
  <si>
    <t>41883</t>
  </si>
  <si>
    <t>978 734 628</t>
  </si>
  <si>
    <t>romero175@transportes.es</t>
  </si>
  <si>
    <t>C0176</t>
  </si>
  <si>
    <t>A22232808</t>
  </si>
  <si>
    <t>28435</t>
  </si>
  <si>
    <t>941 170 787</t>
  </si>
  <si>
    <t>gomez176@distribuciones.es</t>
  </si>
  <si>
    <t>C0177</t>
  </si>
  <si>
    <t>B22418951</t>
  </si>
  <si>
    <t>08871</t>
  </si>
  <si>
    <t>945 134 657</t>
  </si>
  <si>
    <t>garcia177@construcciones.es</t>
  </si>
  <si>
    <t>C0178</t>
  </si>
  <si>
    <t>J69728735</t>
  </si>
  <si>
    <t>Rambla de Catalunya, 99</t>
  </si>
  <si>
    <t>26363</t>
  </si>
  <si>
    <t>973 210 537</t>
  </si>
  <si>
    <t>dominguez178@clinica.es</t>
  </si>
  <si>
    <t>C0179</t>
  </si>
  <si>
    <t>Panadería Gutiérrez</t>
  </si>
  <si>
    <t>J86555697</t>
  </si>
  <si>
    <t>Avda. de la Constitución, 96</t>
  </si>
  <si>
    <t>963 779 600</t>
  </si>
  <si>
    <t>gutierrez179@panaderia.es</t>
  </si>
  <si>
    <t>C0180</t>
  </si>
  <si>
    <t>Alonso e Hijos S.L.</t>
  </si>
  <si>
    <t>J64455154</t>
  </si>
  <si>
    <t>C/ Mayor, 14</t>
  </si>
  <si>
    <t>33473</t>
  </si>
  <si>
    <t>978 533 329</t>
  </si>
  <si>
    <t>alonso180@alonso.es</t>
  </si>
  <si>
    <t>C0181</t>
  </si>
  <si>
    <t>A90814773</t>
  </si>
  <si>
    <t>Paseo de la Castellana, 99</t>
  </si>
  <si>
    <t>11631</t>
  </si>
  <si>
    <t>935 902 245</t>
  </si>
  <si>
    <t>gomez181@farmacia.es</t>
  </si>
  <si>
    <t>C0182</t>
  </si>
  <si>
    <t>Ferretería Peña S.L.</t>
  </si>
  <si>
    <t>B35122355</t>
  </si>
  <si>
    <t>C/ del Sol, 110</t>
  </si>
  <si>
    <t>15591</t>
  </si>
  <si>
    <t>918 501 130</t>
  </si>
  <si>
    <t>pena182@ferreteria.es</t>
  </si>
  <si>
    <t>C0183</t>
  </si>
  <si>
    <t>Construcciones Gil S.L.U.</t>
  </si>
  <si>
    <t>A33373066</t>
  </si>
  <si>
    <t>C/ San Juan, 96</t>
  </si>
  <si>
    <t>29135</t>
  </si>
  <si>
    <t>994 760 739</t>
  </si>
  <si>
    <t>gil183@construcciones.es</t>
  </si>
  <si>
    <t>C0184</t>
  </si>
  <si>
    <t>Ferretería Sánchez S.L.</t>
  </si>
  <si>
    <t>A50531529</t>
  </si>
  <si>
    <t>Avda. de la Constitución, 138</t>
  </si>
  <si>
    <t>48590</t>
  </si>
  <si>
    <t>992 251 215</t>
  </si>
  <si>
    <t>sanchez184@ferreteria.es</t>
  </si>
  <si>
    <t>C0185</t>
  </si>
  <si>
    <t>B62369003</t>
  </si>
  <si>
    <t>C/ Doctor Fleming, 97</t>
  </si>
  <si>
    <t>28288</t>
  </si>
  <si>
    <t>934 207 841</t>
  </si>
  <si>
    <t>nunez185@farmacia.es</t>
  </si>
  <si>
    <t>C0186</t>
  </si>
  <si>
    <t>Construcciones Castaño S.L.U.</t>
  </si>
  <si>
    <t>A47064286</t>
  </si>
  <si>
    <t>C/ Doctor Fleming, 8</t>
  </si>
  <si>
    <t>26209</t>
  </si>
  <si>
    <t>947 197 249</t>
  </si>
  <si>
    <t>castano186@construcciones.es</t>
  </si>
  <si>
    <t>C0187</t>
  </si>
  <si>
    <t>Farmacia Díaz</t>
  </si>
  <si>
    <t>J27497804</t>
  </si>
  <si>
    <t>41424</t>
  </si>
  <si>
    <t>981 723 338</t>
  </si>
  <si>
    <t>diaz187@farmacia.es</t>
  </si>
  <si>
    <t>C0188</t>
  </si>
  <si>
    <t>Talleres Martínez</t>
  </si>
  <si>
    <t>J25315994</t>
  </si>
  <si>
    <t>C/ del Sol, 103</t>
  </si>
  <si>
    <t>29851</t>
  </si>
  <si>
    <t>950 513 704</t>
  </si>
  <si>
    <t>martinez188@talleres.es</t>
  </si>
  <si>
    <t>C0189</t>
  </si>
  <si>
    <t>Panadería Torres</t>
  </si>
  <si>
    <t>J95008345</t>
  </si>
  <si>
    <t>C/ Real, 8</t>
  </si>
  <si>
    <t>08921</t>
  </si>
  <si>
    <t>995 969 210</t>
  </si>
  <si>
    <t>torres189@panaderia.es</t>
  </si>
  <si>
    <t>C0190</t>
  </si>
  <si>
    <t>Ibáñez &amp; Asociados</t>
  </si>
  <si>
    <t>B60055823</t>
  </si>
  <si>
    <t>26384</t>
  </si>
  <si>
    <t>951 222 513</t>
  </si>
  <si>
    <t>ibanez190@ibanez.es</t>
  </si>
  <si>
    <t>C0191</t>
  </si>
  <si>
    <t>Distribuciones Castaño S.A.</t>
  </si>
  <si>
    <t>J82004203</t>
  </si>
  <si>
    <t>46729</t>
  </si>
  <si>
    <t>935 445 678</t>
  </si>
  <si>
    <t>castano191@distribuciones.es</t>
  </si>
  <si>
    <t>C0192</t>
  </si>
  <si>
    <t>Gil e Hijos S.L.</t>
  </si>
  <si>
    <t>B42127262</t>
  </si>
  <si>
    <t>Avda. de la Constitución, 101</t>
  </si>
  <si>
    <t>41327</t>
  </si>
  <si>
    <t>925 722 285</t>
  </si>
  <si>
    <t>gil192@gil.es</t>
  </si>
  <si>
    <t>C0193</t>
  </si>
  <si>
    <t>A20850074</t>
  </si>
  <si>
    <t>C/ San Juan, 105</t>
  </si>
  <si>
    <t>08741</t>
  </si>
  <si>
    <t>951 227 864</t>
  </si>
  <si>
    <t>ibanez193@farmacia.es</t>
  </si>
  <si>
    <t>C0194</t>
  </si>
  <si>
    <t>B30956196</t>
  </si>
  <si>
    <t>Avda. de la Constitución, 139</t>
  </si>
  <si>
    <t>15299</t>
  </si>
  <si>
    <t>916 569 569</t>
  </si>
  <si>
    <t>garcia194@garcia.es</t>
  </si>
  <si>
    <t>C0195</t>
  </si>
  <si>
    <t>A76820068</t>
  </si>
  <si>
    <t>C/ San Juan, 120</t>
  </si>
  <si>
    <t>28354</t>
  </si>
  <si>
    <t>965 430 417</t>
  </si>
  <si>
    <t>ruiz195@ruiz.es</t>
  </si>
  <si>
    <t>C0196</t>
  </si>
  <si>
    <t>Clínica Dental Molina</t>
  </si>
  <si>
    <t>A41419535</t>
  </si>
  <si>
    <t>Avda. de la Constitución, 52</t>
  </si>
  <si>
    <t>28796</t>
  </si>
  <si>
    <t>937 820 725</t>
  </si>
  <si>
    <t>molina196@clinica.es</t>
  </si>
  <si>
    <t>C0197</t>
  </si>
  <si>
    <t>Clínica Dental Vázquez</t>
  </si>
  <si>
    <t>A81840218</t>
  </si>
  <si>
    <t>976 184 509</t>
  </si>
  <si>
    <t>vazquez197@clinica.es</t>
  </si>
  <si>
    <t>C0198</t>
  </si>
  <si>
    <t>Panadería Domínguez</t>
  </si>
  <si>
    <t>A12433260</t>
  </si>
  <si>
    <t>Rambla de Catalunya, 77</t>
  </si>
  <si>
    <t>33996</t>
  </si>
  <si>
    <t>934 602 315</t>
  </si>
  <si>
    <t>dominguez198@panaderia.es</t>
  </si>
  <si>
    <t>C0199</t>
  </si>
  <si>
    <t>Gutiérrez e Hijos S.L.</t>
  </si>
  <si>
    <t>A78458064</t>
  </si>
  <si>
    <t>Plaza de España, 6</t>
  </si>
  <si>
    <t>41576</t>
  </si>
  <si>
    <t>976 127 319</t>
  </si>
  <si>
    <t>gutierrez199@gutierrez.es</t>
  </si>
  <si>
    <t>C0200</t>
  </si>
  <si>
    <t>A51224810</t>
  </si>
  <si>
    <t>Avda. de la Constitución, 98</t>
  </si>
  <si>
    <t>15623</t>
  </si>
  <si>
    <t>995 420 624</t>
  </si>
  <si>
    <t>vazquez200@talleres.es</t>
  </si>
  <si>
    <t>C0201</t>
  </si>
  <si>
    <t>Talleres Gil</t>
  </si>
  <si>
    <t>J89894834</t>
  </si>
  <si>
    <t>Rambla de Catalunya, 38</t>
  </si>
  <si>
    <t>14862</t>
  </si>
  <si>
    <t>948 982 463</t>
  </si>
  <si>
    <t>gil201@talleres.es</t>
  </si>
  <si>
    <t>C0202</t>
  </si>
  <si>
    <t>A64276344</t>
  </si>
  <si>
    <t>Rambla de Catalunya, 86</t>
  </si>
  <si>
    <t>05098</t>
  </si>
  <si>
    <t>955 888 321</t>
  </si>
  <si>
    <t>serrano202@construcciones.es</t>
  </si>
  <si>
    <t>C0203</t>
  </si>
  <si>
    <t>Alonso &amp; Asociados</t>
  </si>
  <si>
    <t>A68858103</t>
  </si>
  <si>
    <t>50891</t>
  </si>
  <si>
    <t>982 738 485</t>
  </si>
  <si>
    <t>alonso203@alonso.es</t>
  </si>
  <si>
    <t>C0204</t>
  </si>
  <si>
    <t>Navarro &amp; Asociados</t>
  </si>
  <si>
    <t>B93436121</t>
  </si>
  <si>
    <t>Avda. de la Constitución, 119</t>
  </si>
  <si>
    <t>15625</t>
  </si>
  <si>
    <t>984 872 824</t>
  </si>
  <si>
    <t>navarro204@navarro.es</t>
  </si>
  <si>
    <t>C0205</t>
  </si>
  <si>
    <t>B58202750</t>
  </si>
  <si>
    <t>C/ del Sol, 55</t>
  </si>
  <si>
    <t>28030</t>
  </si>
  <si>
    <t>926 878 535</t>
  </si>
  <si>
    <t>alonso205@ferreteria.es</t>
  </si>
  <si>
    <t>C0206</t>
  </si>
  <si>
    <t>B85942721</t>
  </si>
  <si>
    <t>Avda. de la Constitución, 118</t>
  </si>
  <si>
    <t>28273</t>
  </si>
  <si>
    <t>915 492 110</t>
  </si>
  <si>
    <t>gil206@ferreteria.es</t>
  </si>
  <si>
    <t>C0207</t>
  </si>
  <si>
    <t>J58132457</t>
  </si>
  <si>
    <t>Plaza de España, 54</t>
  </si>
  <si>
    <t>12029</t>
  </si>
  <si>
    <t>925 404 386</t>
  </si>
  <si>
    <t>munoz207@distribuciones.es</t>
  </si>
  <si>
    <t>C0208</t>
  </si>
  <si>
    <t>Transportes Martín S.L.</t>
  </si>
  <si>
    <t>B20784394</t>
  </si>
  <si>
    <t>C/ Real, 86</t>
  </si>
  <si>
    <t>41783</t>
  </si>
  <si>
    <t>982 512 821</t>
  </si>
  <si>
    <t>martin208@transportes.es</t>
  </si>
  <si>
    <t>C0209</t>
  </si>
  <si>
    <t>A84216978</t>
  </si>
  <si>
    <t>C/ Mayor, 113</t>
  </si>
  <si>
    <t>08901</t>
  </si>
  <si>
    <t>984 143 536</t>
  </si>
  <si>
    <t>vazquez209@panaderia.es</t>
  </si>
  <si>
    <t>C0210</t>
  </si>
  <si>
    <t>B28817994</t>
  </si>
  <si>
    <t>C/ del Sol, 89</t>
  </si>
  <si>
    <t>14907</t>
  </si>
  <si>
    <t>977 886 632</t>
  </si>
  <si>
    <t>ramirez210@ferreteria.es</t>
  </si>
  <si>
    <t>C0211</t>
  </si>
  <si>
    <t>Panadería Gómez</t>
  </si>
  <si>
    <t>A75329928</t>
  </si>
  <si>
    <t>C/ del Sol, 138</t>
  </si>
  <si>
    <t>48831</t>
  </si>
  <si>
    <t>917 429 782</t>
  </si>
  <si>
    <t>gomez211@panaderia.es</t>
  </si>
  <si>
    <t>C0212</t>
  </si>
  <si>
    <t>Gómez e Hijos S.L.</t>
  </si>
  <si>
    <t>B41146715</t>
  </si>
  <si>
    <t>50190</t>
  </si>
  <si>
    <t>932 658 788</t>
  </si>
  <si>
    <t>gomez212@gomez.es</t>
  </si>
  <si>
    <t>C0213</t>
  </si>
  <si>
    <t>J57685302</t>
  </si>
  <si>
    <t>29884</t>
  </si>
  <si>
    <t>929 946 514</t>
  </si>
  <si>
    <t>castano213@clinica.es</t>
  </si>
  <si>
    <t>C0214</t>
  </si>
  <si>
    <t>J83186547</t>
  </si>
  <si>
    <t>Avda. de la Constitución, 53</t>
  </si>
  <si>
    <t>33616</t>
  </si>
  <si>
    <t>989 643 982</t>
  </si>
  <si>
    <t>pena214@construcciones.es</t>
  </si>
  <si>
    <t>C0215</t>
  </si>
  <si>
    <t>A40566091</t>
  </si>
  <si>
    <t>Rambla de Catalunya, 88</t>
  </si>
  <si>
    <t>966 734 159</t>
  </si>
  <si>
    <t>gomez215@panaderia.es</t>
  </si>
  <si>
    <t>C0216</t>
  </si>
  <si>
    <t>A53853425</t>
  </si>
  <si>
    <t>Paseo de la Castellana, 107</t>
  </si>
  <si>
    <t>05169</t>
  </si>
  <si>
    <t>960 962 487</t>
  </si>
  <si>
    <t>moreno216@construcciones.es</t>
  </si>
  <si>
    <t>C0217</t>
  </si>
  <si>
    <t>Sánchez &amp; Asociados</t>
  </si>
  <si>
    <t>B60209484</t>
  </si>
  <si>
    <t>C/ Doctor Fleming, 44</t>
  </si>
  <si>
    <t>11370</t>
  </si>
  <si>
    <t>970 182 345</t>
  </si>
  <si>
    <t>sanchez217@sanchez.es</t>
  </si>
  <si>
    <t>C0218</t>
  </si>
  <si>
    <t>J35052838</t>
  </si>
  <si>
    <t>C/ Doctor Fleming, 83</t>
  </si>
  <si>
    <t>46324</t>
  </si>
  <si>
    <t>966 507 646</t>
  </si>
  <si>
    <t>torres218@construcciones.es</t>
  </si>
  <si>
    <t>C0219</t>
  </si>
  <si>
    <t>Talleres Castaño</t>
  </si>
  <si>
    <t>A27727180</t>
  </si>
  <si>
    <t>C/ Real, 70</t>
  </si>
  <si>
    <t>28780</t>
  </si>
  <si>
    <t>934 431 112</t>
  </si>
  <si>
    <t>castano219@talleres.es</t>
  </si>
  <si>
    <t>C0220</t>
  </si>
  <si>
    <t>Construcciones Domínguez S.L.U.</t>
  </si>
  <si>
    <t>J94242669</t>
  </si>
  <si>
    <t>Paseo de la Castellana, 6</t>
  </si>
  <si>
    <t>05912</t>
  </si>
  <si>
    <t>935 658 870</t>
  </si>
  <si>
    <t>dominguez220@construcciones.es</t>
  </si>
  <si>
    <t>C0221</t>
  </si>
  <si>
    <t>Construcciones Martínez S.L.U.</t>
  </si>
  <si>
    <t>B74122663</t>
  </si>
  <si>
    <t>C/ San Juan, 57</t>
  </si>
  <si>
    <t>29559</t>
  </si>
  <si>
    <t>935 896 760</t>
  </si>
  <si>
    <t>martinez221@construcciones.es</t>
  </si>
  <si>
    <t>C0222</t>
  </si>
  <si>
    <t>Farmacia Gil</t>
  </si>
  <si>
    <t>B61345764</t>
  </si>
  <si>
    <t>Rambla de Catalunya, 113</t>
  </si>
  <si>
    <t>15019</t>
  </si>
  <si>
    <t>989 338 130</t>
  </si>
  <si>
    <t>gil222@farmacia.es</t>
  </si>
  <si>
    <t>C0223</t>
  </si>
  <si>
    <t>Construcciones Núñez S.L.U.</t>
  </si>
  <si>
    <t>B70724418</t>
  </si>
  <si>
    <t>C/ Mayor, 96</t>
  </si>
  <si>
    <t>05798</t>
  </si>
  <si>
    <t>922 720 400</t>
  </si>
  <si>
    <t>nunez223@construcciones.es</t>
  </si>
  <si>
    <t>C0224</t>
  </si>
  <si>
    <t>A75224917</t>
  </si>
  <si>
    <t>Paseo de la Castellana, 100</t>
  </si>
  <si>
    <t>12832</t>
  </si>
  <si>
    <t>985 313 244</t>
  </si>
  <si>
    <t>jimenez224@ferreteria.es</t>
  </si>
  <si>
    <t>C0225</t>
  </si>
  <si>
    <t>B97897589</t>
  </si>
  <si>
    <t>C/ Real, 13</t>
  </si>
  <si>
    <t>28801</t>
  </si>
  <si>
    <t>951 830 916</t>
  </si>
  <si>
    <t>gil225@distribuciones.es</t>
  </si>
  <si>
    <t>C0226</t>
  </si>
  <si>
    <t>J52976386</t>
  </si>
  <si>
    <t>50097</t>
  </si>
  <si>
    <t>979 476 306</t>
  </si>
  <si>
    <t>martin226@farmacia.es</t>
  </si>
  <si>
    <t>C0227</t>
  </si>
  <si>
    <t>B46942058</t>
  </si>
  <si>
    <t>14626</t>
  </si>
  <si>
    <t>968 520 262</t>
  </si>
  <si>
    <t>navarro227@talleres.es</t>
  </si>
  <si>
    <t>C0228</t>
  </si>
  <si>
    <t>B36488525</t>
  </si>
  <si>
    <t>C/ Mayor, 124</t>
  </si>
  <si>
    <t>14729</t>
  </si>
  <si>
    <t>976 835 590</t>
  </si>
  <si>
    <t>gomez228@talleres.es</t>
  </si>
  <si>
    <t>C0229</t>
  </si>
  <si>
    <t>A59454090</t>
  </si>
  <si>
    <t>Plaza de España, 82</t>
  </si>
  <si>
    <t>50988</t>
  </si>
  <si>
    <t>912 833 946</t>
  </si>
  <si>
    <t>lopez229@ferreteria.es</t>
  </si>
  <si>
    <t>C0230</t>
  </si>
  <si>
    <t>Clínica Dental Alonso</t>
  </si>
  <si>
    <t>J62541372</t>
  </si>
  <si>
    <t>C/ San Juan, 24</t>
  </si>
  <si>
    <t>11241</t>
  </si>
  <si>
    <t>949 879 840</t>
  </si>
  <si>
    <t>alonso230@clinica.es</t>
  </si>
  <si>
    <t>C0231</t>
  </si>
  <si>
    <t>J97465835</t>
  </si>
  <si>
    <t>Plaza de España, 83</t>
  </si>
  <si>
    <t>05239</t>
  </si>
  <si>
    <t>944 993 582</t>
  </si>
  <si>
    <t>navarro231@talleres.es</t>
  </si>
  <si>
    <t>C0232</t>
  </si>
  <si>
    <t>B50414521</t>
  </si>
  <si>
    <t>Rambla de Catalunya, 1</t>
  </si>
  <si>
    <t>12856</t>
  </si>
  <si>
    <t>998 871 243</t>
  </si>
  <si>
    <t>nunez232@construcciones.es</t>
  </si>
  <si>
    <t>C0233</t>
  </si>
  <si>
    <t>Panadería Serrano</t>
  </si>
  <si>
    <t>J50761005</t>
  </si>
  <si>
    <t>958 499 846</t>
  </si>
  <si>
    <t>serrano233@panaderia.es</t>
  </si>
  <si>
    <t>C0234</t>
  </si>
  <si>
    <t>J53337542</t>
  </si>
  <si>
    <t>Rambla de Catalunya, 74</t>
  </si>
  <si>
    <t>15119</t>
  </si>
  <si>
    <t>937 121 984</t>
  </si>
  <si>
    <t>ramirez234@ramirez.es</t>
  </si>
  <si>
    <t>C0235</t>
  </si>
  <si>
    <t>Pérez &amp; Asociados</t>
  </si>
  <si>
    <t>B21701583</t>
  </si>
  <si>
    <t>11271</t>
  </si>
  <si>
    <t>970 554 531</t>
  </si>
  <si>
    <t>perez235@perez.es</t>
  </si>
  <si>
    <t>C0236</t>
  </si>
  <si>
    <t>J43478988</t>
  </si>
  <si>
    <t>Rambla de Catalunya, 53</t>
  </si>
  <si>
    <t>12243</t>
  </si>
  <si>
    <t>912 274 110</t>
  </si>
  <si>
    <t>molina236@transportes.es</t>
  </si>
  <si>
    <t>C0237</t>
  </si>
  <si>
    <t>J73894527</t>
  </si>
  <si>
    <t>C/ Mayor, 92</t>
  </si>
  <si>
    <t>29154</t>
  </si>
  <si>
    <t>945 696 500</t>
  </si>
  <si>
    <t>molina237@transportes.es</t>
  </si>
  <si>
    <t>C0238</t>
  </si>
  <si>
    <t>Domínguez e Hijos S.L.</t>
  </si>
  <si>
    <t>B34213776</t>
  </si>
  <si>
    <t>C/ del Sol, 76</t>
  </si>
  <si>
    <t>26809</t>
  </si>
  <si>
    <t>981 600 751</t>
  </si>
  <si>
    <t>dominguez238@dominguez.es</t>
  </si>
  <si>
    <t>C0239</t>
  </si>
  <si>
    <t>A97394139</t>
  </si>
  <si>
    <t>C/ del Sol, 48</t>
  </si>
  <si>
    <t>28652</t>
  </si>
  <si>
    <t>911 836 787</t>
  </si>
  <si>
    <t>sanchez239@clinica.es</t>
  </si>
  <si>
    <t>C0240</t>
  </si>
  <si>
    <t>B88757983</t>
  </si>
  <si>
    <t>C/ San Juan, 82</t>
  </si>
  <si>
    <t>05029</t>
  </si>
  <si>
    <t>938 945 322</t>
  </si>
  <si>
    <t>moreno240@clinica.es</t>
  </si>
  <si>
    <t>C0241</t>
  </si>
  <si>
    <t>B37570188</t>
  </si>
  <si>
    <t>Plaza de España, 95</t>
  </si>
  <si>
    <t>46606</t>
  </si>
  <si>
    <t>931 717 558</t>
  </si>
  <si>
    <t>alonso241@ferreteria.es</t>
  </si>
  <si>
    <t>C0242</t>
  </si>
  <si>
    <t>Moreno e Hijos S.L.</t>
  </si>
  <si>
    <t>J83393623</t>
  </si>
  <si>
    <t>C/ Real, 91</t>
  </si>
  <si>
    <t>28470</t>
  </si>
  <si>
    <t>917 448 551</t>
  </si>
  <si>
    <t>moreno242@moreno.es</t>
  </si>
  <si>
    <t>C0243</t>
  </si>
  <si>
    <t>Distribuciones Díaz S.A.</t>
  </si>
  <si>
    <t>J21725412</t>
  </si>
  <si>
    <t>C/ del Sol, 12</t>
  </si>
  <si>
    <t>41654</t>
  </si>
  <si>
    <t>963 873 179</t>
  </si>
  <si>
    <t>diaz243@distribuciones.es</t>
  </si>
  <si>
    <t>C0244</t>
  </si>
  <si>
    <t>Distribuciones Pérez S.A.</t>
  </si>
  <si>
    <t>A58058701</t>
  </si>
  <si>
    <t>Rambla de Catalunya, 90</t>
  </si>
  <si>
    <t>28599</t>
  </si>
  <si>
    <t>978 555 290</t>
  </si>
  <si>
    <t>perez244@distribuciones.es</t>
  </si>
  <si>
    <t>C0245</t>
  </si>
  <si>
    <t>Distribuciones Serrano S.A.</t>
  </si>
  <si>
    <t>A10668314</t>
  </si>
  <si>
    <t>C/ Doctor Fleming, 55</t>
  </si>
  <si>
    <t>11134</t>
  </si>
  <si>
    <t>950 313 138</t>
  </si>
  <si>
    <t>serrano245@distribuciones.es</t>
  </si>
  <si>
    <t>C0246</t>
  </si>
  <si>
    <t>Panadería Castaño</t>
  </si>
  <si>
    <t>B69587744</t>
  </si>
  <si>
    <t>C/ del Sol, 102</t>
  </si>
  <si>
    <t>08159</t>
  </si>
  <si>
    <t>983 396 411</t>
  </si>
  <si>
    <t>castano246@panaderia.es</t>
  </si>
  <si>
    <t>C0247</t>
  </si>
  <si>
    <t>A27971300</t>
  </si>
  <si>
    <t>Plaza de España, 102</t>
  </si>
  <si>
    <t>26591</t>
  </si>
  <si>
    <t>926 371 460</t>
  </si>
  <si>
    <t>garcia247@distribuciones.es</t>
  </si>
  <si>
    <t>C0248</t>
  </si>
  <si>
    <t>A39260967</t>
  </si>
  <si>
    <t>C/ del Sol, 133</t>
  </si>
  <si>
    <t>29399</t>
  </si>
  <si>
    <t>964 408 904</t>
  </si>
  <si>
    <t>munoz248@distribuciones.es</t>
  </si>
  <si>
    <t>C0249</t>
  </si>
  <si>
    <t>Distribuciones Gutiérrez S.A.</t>
  </si>
  <si>
    <t>A23486309</t>
  </si>
  <si>
    <t>48851</t>
  </si>
  <si>
    <t>984 424 358</t>
  </si>
  <si>
    <t>gutierrez249@distribuciones.es</t>
  </si>
  <si>
    <t>C0250</t>
  </si>
  <si>
    <t>A72680071</t>
  </si>
  <si>
    <t>Paseo de la Castellana, 108</t>
  </si>
  <si>
    <t>11091</t>
  </si>
  <si>
    <t>990 943 106</t>
  </si>
  <si>
    <t>martin250@farmacia.es</t>
  </si>
  <si>
    <t>Producto</t>
  </si>
  <si>
    <t>Existencias</t>
  </si>
  <si>
    <t>Valoración</t>
  </si>
  <si>
    <t>Análisis</t>
  </si>
  <si>
    <t>SKU</t>
  </si>
  <si>
    <t>Descripción</t>
  </si>
  <si>
    <t>Categoría</t>
  </si>
  <si>
    <t>Stock</t>
  </si>
  <si>
    <t>Mínimo</t>
  </si>
  <si>
    <t>Ubicación</t>
  </si>
  <si>
    <t>Coste unitario</t>
  </si>
  <si>
    <t>PVP</t>
  </si>
  <si>
    <t>Valor stock</t>
  </si>
  <si>
    <t>Reponer</t>
  </si>
  <si>
    <t>Margen</t>
  </si>
  <si>
    <t>SKU-10000</t>
  </si>
  <si>
    <t>Electricidad ref. 499</t>
  </si>
  <si>
    <t>Electricidad</t>
  </si>
  <si>
    <t>Pasillo 6 - A1</t>
  </si>
  <si>
    <t>SKU-10007</t>
  </si>
  <si>
    <t>Tornillería ref. 334</t>
  </si>
  <si>
    <t>Tornillería</t>
  </si>
  <si>
    <t>Pasillo 6 - D2</t>
  </si>
  <si>
    <t>SKU-10014</t>
  </si>
  <si>
    <t>Herramienta ref. 393</t>
  </si>
  <si>
    <t>Herramientas</t>
  </si>
  <si>
    <t>Pasillo 4 - D2</t>
  </si>
  <si>
    <t>SKU-10021</t>
  </si>
  <si>
    <t>Fontanería ref. 670</t>
  </si>
  <si>
    <t>Fontanería</t>
  </si>
  <si>
    <t>Pasillo 6 - B2</t>
  </si>
  <si>
    <t>SKU-10028</t>
  </si>
  <si>
    <t>Pintura ref. 667</t>
  </si>
  <si>
    <t>Pintura</t>
  </si>
  <si>
    <t>Pasillo 8 - B2</t>
  </si>
  <si>
    <t>SKU-10035</t>
  </si>
  <si>
    <t>Jardín ref. 615</t>
  </si>
  <si>
    <t>Jardín</t>
  </si>
  <si>
    <t>Pasillo 4 - C4</t>
  </si>
  <si>
    <t>SKU-10042</t>
  </si>
  <si>
    <t>Fontanería ref. 896</t>
  </si>
  <si>
    <t>Pasillo 8 - A3</t>
  </si>
  <si>
    <t>SKU-10049</t>
  </si>
  <si>
    <t>Herramienta ref. 917</t>
  </si>
  <si>
    <t>Pasillo 1 - B2</t>
  </si>
  <si>
    <t>SKU-10056</t>
  </si>
  <si>
    <t>Pintura ref. 531</t>
  </si>
  <si>
    <t>Pasillo 2 - D5</t>
  </si>
  <si>
    <t>SKU-10063</t>
  </si>
  <si>
    <t>Pintura ref. 857</t>
  </si>
  <si>
    <t>Pasillo 8 - B5</t>
  </si>
  <si>
    <t>SKU-10070</t>
  </si>
  <si>
    <t>Fontanería ref. 665</t>
  </si>
  <si>
    <t>Pasillo 2 - B3</t>
  </si>
  <si>
    <t>SKU-10077</t>
  </si>
  <si>
    <t>Electricidad ref. 356</t>
  </si>
  <si>
    <t>Pasillo 4 - C2</t>
  </si>
  <si>
    <t>SKU-10084</t>
  </si>
  <si>
    <t>Herramienta ref. 710</t>
  </si>
  <si>
    <t>Pasillo 8 - A5</t>
  </si>
  <si>
    <t>SKU-10091</t>
  </si>
  <si>
    <t>Herramienta ref. 696</t>
  </si>
  <si>
    <t>Pasillo 7 - C4</t>
  </si>
  <si>
    <t>SKU-10098</t>
  </si>
  <si>
    <t>Tornillería ref. 927</t>
  </si>
  <si>
    <t>Pasillo 7 - C2</t>
  </si>
  <si>
    <t>SKU-10105</t>
  </si>
  <si>
    <t>Pintura ref. 903</t>
  </si>
  <si>
    <t>SKU-10112</t>
  </si>
  <si>
    <t>Herramienta ref. 359</t>
  </si>
  <si>
    <t>Pasillo 5 - B2</t>
  </si>
  <si>
    <t>SKU-10119</t>
  </si>
  <si>
    <t>Tornillería ref. 159</t>
  </si>
  <si>
    <t>Pasillo 3 - D1</t>
  </si>
  <si>
    <t>SKU-10126</t>
  </si>
  <si>
    <t>Jardín ref. 137</t>
  </si>
  <si>
    <t>Pasillo 7 - C3</t>
  </si>
  <si>
    <t>SKU-10133</t>
  </si>
  <si>
    <t>Fontanería ref. 904</t>
  </si>
  <si>
    <t>SKU-10140</t>
  </si>
  <si>
    <t>Herramienta ref. 607</t>
  </si>
  <si>
    <t>Pasillo 1 - B5</t>
  </si>
  <si>
    <t>SKU-10147</t>
  </si>
  <si>
    <t>Tornillería ref. 760</t>
  </si>
  <si>
    <t>Pasillo 7 - C5</t>
  </si>
  <si>
    <t>SKU-10154</t>
  </si>
  <si>
    <t>Jardín ref. 257</t>
  </si>
  <si>
    <t>Pasillo 3 - A2</t>
  </si>
  <si>
    <t>SKU-10161</t>
  </si>
  <si>
    <t>Jardín ref. 917</t>
  </si>
  <si>
    <t>Pasillo 7 - D5</t>
  </si>
  <si>
    <t>SKU-10168</t>
  </si>
  <si>
    <t>Electricidad ref. 180</t>
  </si>
  <si>
    <t>Pasillo 1 - D1</t>
  </si>
  <si>
    <t>SKU-10175</t>
  </si>
  <si>
    <t>Jardín ref. 777</t>
  </si>
  <si>
    <t>Pasillo 5 - B1</t>
  </si>
  <si>
    <t>SKU-10182</t>
  </si>
  <si>
    <t>Pintura ref. 960</t>
  </si>
  <si>
    <t>SKU-10189</t>
  </si>
  <si>
    <t>Electricidad ref. 612</t>
  </si>
  <si>
    <t>Pasillo 4 - A4</t>
  </si>
  <si>
    <t>SKU-10196</t>
  </si>
  <si>
    <t>Jardín ref. 525</t>
  </si>
  <si>
    <t>Pasillo 3 - A1</t>
  </si>
  <si>
    <t>SKU-10203</t>
  </si>
  <si>
    <t>Pintura ref. 985</t>
  </si>
  <si>
    <t>SKU-10210</t>
  </si>
  <si>
    <t>Jardín ref. 475</t>
  </si>
  <si>
    <t>Pasillo 8 - C4</t>
  </si>
  <si>
    <t>SKU-10217</t>
  </si>
  <si>
    <t>Pintura ref. 403</t>
  </si>
  <si>
    <t>Pasillo 8 - B1</t>
  </si>
  <si>
    <t>SKU-10224</t>
  </si>
  <si>
    <t>Electricidad ref. 634</t>
  </si>
  <si>
    <t>Pasillo 4 - B1</t>
  </si>
  <si>
    <t>SKU-10231</t>
  </si>
  <si>
    <t>Tornillería ref. 210</t>
  </si>
  <si>
    <t>Pasillo 5 - A4</t>
  </si>
  <si>
    <t>SKU-10238</t>
  </si>
  <si>
    <t>Electricidad ref. 920</t>
  </si>
  <si>
    <t>Pasillo 8 - A2</t>
  </si>
  <si>
    <t>SKU-10245</t>
  </si>
  <si>
    <t>Pintura ref. 987</t>
  </si>
  <si>
    <t>Pasillo 2 - D4</t>
  </si>
  <si>
    <t>SKU-10252</t>
  </si>
  <si>
    <t>Pintura ref. 230</t>
  </si>
  <si>
    <t>Pasillo 7 - A3</t>
  </si>
  <si>
    <t>SKU-10259</t>
  </si>
  <si>
    <t>Fontanería ref. 774</t>
  </si>
  <si>
    <t>Pasillo 1 - D2</t>
  </si>
  <si>
    <t>SKU-10266</t>
  </si>
  <si>
    <t>Pintura ref. 264</t>
  </si>
  <si>
    <t>Pasillo 4 - C5</t>
  </si>
  <si>
    <t>SKU-10273</t>
  </si>
  <si>
    <t>Jardín ref. 651</t>
  </si>
  <si>
    <t>Pasillo 5 - D3</t>
  </si>
  <si>
    <t>SKU-10280</t>
  </si>
  <si>
    <t>Pintura ref. 841</t>
  </si>
  <si>
    <t>Pasillo 5 - D5</t>
  </si>
  <si>
    <t>SKU-10287</t>
  </si>
  <si>
    <t>Pintura ref. 787</t>
  </si>
  <si>
    <t>Pasillo 3 - B4</t>
  </si>
  <si>
    <t>SKU-10294</t>
  </si>
  <si>
    <t>Tornillería ref. 499</t>
  </si>
  <si>
    <t>Pasillo 6 - C4</t>
  </si>
  <si>
    <t>SKU-10301</t>
  </si>
  <si>
    <t>Jardín ref. 217</t>
  </si>
  <si>
    <t>Pasillo 4 - C1</t>
  </si>
  <si>
    <t>SKU-10308</t>
  </si>
  <si>
    <t>Fontanería ref. 384</t>
  </si>
  <si>
    <t>SKU-10315</t>
  </si>
  <si>
    <t>Pintura ref. 839</t>
  </si>
  <si>
    <t>SKU-10322</t>
  </si>
  <si>
    <t>Electricidad ref. 669</t>
  </si>
  <si>
    <t>Pasillo 7 - D3</t>
  </si>
  <si>
    <t>SKU-10329</t>
  </si>
  <si>
    <t>Tornillería ref. 314</t>
  </si>
  <si>
    <t>Pasillo 5 - C4</t>
  </si>
  <si>
    <t>SKU-10336</t>
  </si>
  <si>
    <t>Electricidad ref. 414</t>
  </si>
  <si>
    <t>Pasillo 2 - D3</t>
  </si>
  <si>
    <t>SKU-10343</t>
  </si>
  <si>
    <t>Herramienta ref. 781</t>
  </si>
  <si>
    <t>Pasillo 7 - B1</t>
  </si>
  <si>
    <t>SKU-10350</t>
  </si>
  <si>
    <t>Tornillería ref. 835</t>
  </si>
  <si>
    <t>SKU-10357</t>
  </si>
  <si>
    <t>Electricidad ref. 730</t>
  </si>
  <si>
    <t>Pasillo 5 - C3</t>
  </si>
  <si>
    <t>SKU-10364</t>
  </si>
  <si>
    <t>Electricidad ref. 436</t>
  </si>
  <si>
    <t>Pasillo 5 - C1</t>
  </si>
  <si>
    <t>SKU-10371</t>
  </si>
  <si>
    <t>Tornillería ref. 918</t>
  </si>
  <si>
    <t>SKU-10378</t>
  </si>
  <si>
    <t>Electricidad ref. 975</t>
  </si>
  <si>
    <t>Pasillo 2 - B5</t>
  </si>
  <si>
    <t>SKU-10385</t>
  </si>
  <si>
    <t>Electricidad ref. 448</t>
  </si>
  <si>
    <t>Pasillo 7 - D1</t>
  </si>
  <si>
    <t>SKU-10392</t>
  </si>
  <si>
    <t>Jardín ref. 191</t>
  </si>
  <si>
    <t>Pasillo 5 - B4</t>
  </si>
  <si>
    <t>SKU-10399</t>
  </si>
  <si>
    <t>Tornillería ref. 260</t>
  </si>
  <si>
    <t>Pasillo 3 - C3</t>
  </si>
  <si>
    <t>SKU-10406</t>
  </si>
  <si>
    <t>Electricidad ref. 541</t>
  </si>
  <si>
    <t>Pasillo 8 - D5</t>
  </si>
  <si>
    <t>SKU-10413</t>
  </si>
  <si>
    <t>Pintura ref. 899</t>
  </si>
  <si>
    <t>Pasillo 1 - A5</t>
  </si>
  <si>
    <t>SKU-10420</t>
  </si>
  <si>
    <t>Fontanería ref. 489</t>
  </si>
  <si>
    <t>Pasillo 6 - A2</t>
  </si>
  <si>
    <t>SKU-10427</t>
  </si>
  <si>
    <t>Jardín ref. 560</t>
  </si>
  <si>
    <t>Pasillo 8 - C3</t>
  </si>
  <si>
    <t>SKU-10434</t>
  </si>
  <si>
    <t>Pintura ref. 522</t>
  </si>
  <si>
    <t>Pasillo 6 - D4</t>
  </si>
  <si>
    <t>SKU-10441</t>
  </si>
  <si>
    <t>Fontanería ref. 250</t>
  </si>
  <si>
    <t>Pasillo 6 - D5</t>
  </si>
  <si>
    <t>SKU-10448</t>
  </si>
  <si>
    <t>Jardín ref. 824</t>
  </si>
  <si>
    <t>Pasillo 7 - A4</t>
  </si>
  <si>
    <t>SKU-10455</t>
  </si>
  <si>
    <t>Tornillería ref. 596</t>
  </si>
  <si>
    <t>Pasillo 4 - A2</t>
  </si>
  <si>
    <t>SKU-10462</t>
  </si>
  <si>
    <t>Electricidad ref. 507</t>
  </si>
  <si>
    <t>Pasillo 2 - C5</t>
  </si>
  <si>
    <t>SKU-10469</t>
  </si>
  <si>
    <t>Electricidad ref. 585</t>
  </si>
  <si>
    <t>SKU-10476</t>
  </si>
  <si>
    <t>Electricidad ref. 574</t>
  </si>
  <si>
    <t>SKU-10483</t>
  </si>
  <si>
    <t>Tornillería ref. 426</t>
  </si>
  <si>
    <t>Pasillo 8 - A1</t>
  </si>
  <si>
    <t>SKU-10490</t>
  </si>
  <si>
    <t>Jardín ref. 428</t>
  </si>
  <si>
    <t>Pasillo 6 - A3</t>
  </si>
  <si>
    <t>SKU-10497</t>
  </si>
  <si>
    <t>Tornillería ref. 149</t>
  </si>
  <si>
    <t>SKU-10504</t>
  </si>
  <si>
    <t>Pintura ref. 411</t>
  </si>
  <si>
    <t>Pasillo 6 - B1</t>
  </si>
  <si>
    <t>SKU-10511</t>
  </si>
  <si>
    <t>Pasillo 2 - D2</t>
  </si>
  <si>
    <t>SKU-10518</t>
  </si>
  <si>
    <t>Herramienta ref. 461</t>
  </si>
  <si>
    <t>Pasillo 5 - A1</t>
  </si>
  <si>
    <t>SKU-10525</t>
  </si>
  <si>
    <t>Electricidad ref. 387</t>
  </si>
  <si>
    <t>Pasillo 8 - D4</t>
  </si>
  <si>
    <t>SKU-10532</t>
  </si>
  <si>
    <t>Pintura ref. 742</t>
  </si>
  <si>
    <t>SKU-10539</t>
  </si>
  <si>
    <t>Herramienta ref. 767</t>
  </si>
  <si>
    <t>Pasillo 5 - A2</t>
  </si>
  <si>
    <t>SKU-10546</t>
  </si>
  <si>
    <t>Fontanería ref. 623</t>
  </si>
  <si>
    <t>Pasillo 1 - A3</t>
  </si>
  <si>
    <t>SKU-10553</t>
  </si>
  <si>
    <t>Pintura ref. 117</t>
  </si>
  <si>
    <t>SKU-10560</t>
  </si>
  <si>
    <t>Fontanería ref. 621</t>
  </si>
  <si>
    <t>Pasillo 6 - B4</t>
  </si>
  <si>
    <t>SKU-10567</t>
  </si>
  <si>
    <t>Jardín ref. 859</t>
  </si>
  <si>
    <t>SKU-10574</t>
  </si>
  <si>
    <t>Fontanería ref. 615</t>
  </si>
  <si>
    <t>Pasillo 5 - A5</t>
  </si>
  <si>
    <t>SKU-10581</t>
  </si>
  <si>
    <t>Electricidad ref. 151</t>
  </si>
  <si>
    <t>SKU-10588</t>
  </si>
  <si>
    <t>Tornillería ref. 593</t>
  </si>
  <si>
    <t>Pasillo 2 - B1</t>
  </si>
  <si>
    <t>SKU-10595</t>
  </si>
  <si>
    <t>Jardín ref. 606</t>
  </si>
  <si>
    <t>SKU-10602</t>
  </si>
  <si>
    <t>Pintura ref. 680</t>
  </si>
  <si>
    <t>SKU-10609</t>
  </si>
  <si>
    <t>Jardín ref. 433</t>
  </si>
  <si>
    <t>SKU-10616</t>
  </si>
  <si>
    <t>Herramienta ref. 436</t>
  </si>
  <si>
    <t>Pasillo 2 - A1</t>
  </si>
  <si>
    <t>SKU-10623</t>
  </si>
  <si>
    <t>Electricidad ref. 236</t>
  </si>
  <si>
    <t>Pasillo 2 - D1</t>
  </si>
  <si>
    <t>SKU-10630</t>
  </si>
  <si>
    <t>Tornillería ref. 786</t>
  </si>
  <si>
    <t>Pasillo 3 - B5</t>
  </si>
  <si>
    <t>SKU-10637</t>
  </si>
  <si>
    <t>Electricidad ref. 118</t>
  </si>
  <si>
    <t>Pasillo 1 - B4</t>
  </si>
  <si>
    <t>SKU-10644</t>
  </si>
  <si>
    <t>Tornillería ref. 555</t>
  </si>
  <si>
    <t>Pasillo 6 - A4</t>
  </si>
  <si>
    <t>SKU-10651</t>
  </si>
  <si>
    <t>Fontanería ref. 968</t>
  </si>
  <si>
    <t>SKU-10658</t>
  </si>
  <si>
    <t>Pintura ref. 209</t>
  </si>
  <si>
    <t>Pasillo 6 - B3</t>
  </si>
  <si>
    <t>SKU-10665</t>
  </si>
  <si>
    <t>Herramienta ref. 690</t>
  </si>
  <si>
    <t>SKU-10672</t>
  </si>
  <si>
    <t>Fontanería ref. 149</t>
  </si>
  <si>
    <t>SKU-10679</t>
  </si>
  <si>
    <t>Tornillería ref. 827</t>
  </si>
  <si>
    <t>SKU-10686</t>
  </si>
  <si>
    <t>Herramienta ref. 691</t>
  </si>
  <si>
    <t>Pasillo 6 - D3</t>
  </si>
  <si>
    <t>SKU-10693</t>
  </si>
  <si>
    <t>Jardín ref. 258</t>
  </si>
  <si>
    <t>SKU-10700</t>
  </si>
  <si>
    <t>Tornillería ref. 700</t>
  </si>
  <si>
    <t>Pasillo 4 - A1</t>
  </si>
  <si>
    <t>SKU-10707</t>
  </si>
  <si>
    <t>Fontanería ref. 425</t>
  </si>
  <si>
    <t>Pasillo 4 - D4</t>
  </si>
  <si>
    <t>SKU-10714</t>
  </si>
  <si>
    <t>Electricidad ref. 292</t>
  </si>
  <si>
    <t>Pasillo 7 - A5</t>
  </si>
  <si>
    <t>SKU-10721</t>
  </si>
  <si>
    <t>Electricidad ref. 929</t>
  </si>
  <si>
    <t>SKU-10728</t>
  </si>
  <si>
    <t>Herramienta ref. 898</t>
  </si>
  <si>
    <t>SKU-10735</t>
  </si>
  <si>
    <t>Electricidad ref. 141</t>
  </si>
  <si>
    <t>Pasillo 6 - C2</t>
  </si>
  <si>
    <t>SKU-10742</t>
  </si>
  <si>
    <t>Pintura ref. 821</t>
  </si>
  <si>
    <t>Pasillo 8 - D1</t>
  </si>
  <si>
    <t>SKU-10749</t>
  </si>
  <si>
    <t>Herramienta ref. 854</t>
  </si>
  <si>
    <t>SKU-10756</t>
  </si>
  <si>
    <t>Jardín ref. 442</t>
  </si>
  <si>
    <t>SKU-10763</t>
  </si>
  <si>
    <t>Electricidad ref. 655</t>
  </si>
  <si>
    <t>Pasillo 2 - C3</t>
  </si>
  <si>
    <t>SKU-10770</t>
  </si>
  <si>
    <t>Pintura ref. 833</t>
  </si>
  <si>
    <t>SKU-10777</t>
  </si>
  <si>
    <t>Tornillería ref. 343</t>
  </si>
  <si>
    <t>SKU-10784</t>
  </si>
  <si>
    <t>Herramienta ref. 229</t>
  </si>
  <si>
    <t>SKU-10791</t>
  </si>
  <si>
    <t>Tornillería ref. 672</t>
  </si>
  <si>
    <t>Pasillo 3 - A4</t>
  </si>
  <si>
    <t>SKU-10798</t>
  </si>
  <si>
    <t>Herramienta ref. 365</t>
  </si>
  <si>
    <t>Pasillo 5 - D2</t>
  </si>
  <si>
    <t>SKU-10805</t>
  </si>
  <si>
    <t>Tornillería ref. 811</t>
  </si>
  <si>
    <t>SKU-10812</t>
  </si>
  <si>
    <t>Herramienta ref. 543</t>
  </si>
  <si>
    <t>Pasillo 7 - C1</t>
  </si>
  <si>
    <t>SKU-10819</t>
  </si>
  <si>
    <t>SKU-10826</t>
  </si>
  <si>
    <t>Herramienta ref. 903</t>
  </si>
  <si>
    <t>SKU-10833</t>
  </si>
  <si>
    <t>Electricidad ref. 255</t>
  </si>
  <si>
    <t>Total</t>
  </si>
  <si>
    <t>Total (SUM)</t>
  </si>
  <si>
    <t>Total visibles (SUBTOTAL 109)</t>
  </si>
  <si>
    <t>Productos a reponer</t>
  </si>
  <si>
    <t>Clientes</t>
  </si>
  <si>
    <t>Activos</t>
  </si>
  <si>
    <t>Límite medio</t>
  </si>
  <si>
    <t>Total clientes</t>
  </si>
  <si>
    <t>Saldo máximo</t>
  </si>
  <si>
    <t>Tercer mayor saldo</t>
  </si>
  <si>
    <t>Mediana saldo</t>
  </si>
  <si>
    <t>Clientes riesgo alto</t>
  </si>
</sst>
</file>

<file path=xl/styles.xml><?xml version="1.0" encoding="utf-8"?>
<styleSheet xmlns="http://schemas.openxmlformats.org/spreadsheetml/2006/main">
  <numFmts count="6">
    <numFmt numFmtId="164" formatCode="@"/>
    <numFmt numFmtId="165" formatCode="dd/mm/yyyy"/>
    <numFmt numFmtId="166" formatCode="#,##0 &quot;€&quot;"/>
    <numFmt numFmtId="167" formatCode="#,##0.00 &quot;€&quot;"/>
    <numFmt numFmtId="168" formatCode="#,##0"/>
    <numFmt numFmtId="169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2" fillId="3" borderId="0" xfId="0" applyFont="1" applyFill="1"/>
    <xf numFmtId="167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O2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3" width="11.7109375" customWidth="1"/>
    <col min="4" max="4" width="30.7109375" customWidth="1"/>
    <col min="5" max="5" width="7.7109375" customWidth="1"/>
    <col min="6" max="6" width="24.7109375" customWidth="1"/>
    <col min="7" max="7" width="12.7109375" customWidth="1"/>
    <col min="8" max="8" width="13.7109375" customWidth="1"/>
    <col min="9" max="9" width="30.7109375" customWidth="1"/>
    <col min="10" max="10" width="11.7109375" customWidth="1"/>
    <col min="11" max="11" width="8.7109375" customWidth="1"/>
    <col min="12" max="12" width="13.7109375" customWidth="1"/>
    <col min="13" max="13" width="15.7109375" customWidth="1"/>
    <col min="14" max="14" width="8.7109375" customWidth="1"/>
    <col min="15" max="15" width="30.7109375" hidden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>
      <c r="A2" t="s">
        <v>15</v>
      </c>
      <c r="B2" t="s">
        <v>16</v>
      </c>
      <c r="C2" t="s">
        <v>17</v>
      </c>
      <c r="D2" t="s">
        <v>18</v>
      </c>
      <c r="E2" s="2" t="s">
        <v>19</v>
      </c>
      <c r="F2" t="s">
        <v>20</v>
      </c>
      <c r="G2" t="s">
        <v>21</v>
      </c>
      <c r="H2" s="2" t="s">
        <v>22</v>
      </c>
      <c r="I2" t="s">
        <v>23</v>
      </c>
      <c r="J2" s="3">
        <v>45712</v>
      </c>
      <c r="K2" t="b">
        <v>1</v>
      </c>
      <c r="L2" s="4">
        <v>10000</v>
      </c>
      <c r="M2" s="5">
        <v>11594.38</v>
      </c>
      <c r="N2" t="str">
        <f>IF(M2&gt;L2,"Alto",IF(M2&gt;L2*0.8,"Medio","Bajo"))</f>
        <v>Alto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s="2" t="s">
        <v>29</v>
      </c>
      <c r="F3" t="s">
        <v>30</v>
      </c>
      <c r="G3" t="s">
        <v>30</v>
      </c>
      <c r="H3" s="2" t="s">
        <v>31</v>
      </c>
      <c r="I3" t="s">
        <v>32</v>
      </c>
      <c r="J3" s="3">
        <v>45048</v>
      </c>
      <c r="K3" t="b">
        <v>1</v>
      </c>
      <c r="L3" s="4">
        <v>20000</v>
      </c>
      <c r="M3" s="5">
        <v>19565.74</v>
      </c>
      <c r="N3" t="str">
        <f>IF(M3&gt;L3,"Alto",IF(M3&gt;L3*0.8,"Medio","Bajo"))</f>
        <v>Medio</v>
      </c>
      <c r="O3" t="s">
        <v>33</v>
      </c>
    </row>
    <row r="4" spans="1:15">
      <c r="A4" t="s">
        <v>34</v>
      </c>
      <c r="B4" t="s">
        <v>35</v>
      </c>
      <c r="C4" t="s">
        <v>36</v>
      </c>
      <c r="D4" t="s">
        <v>37</v>
      </c>
      <c r="E4" s="2" t="s">
        <v>38</v>
      </c>
      <c r="F4" t="s">
        <v>39</v>
      </c>
      <c r="G4" t="s">
        <v>40</v>
      </c>
      <c r="H4" s="2" t="s">
        <v>41</v>
      </c>
      <c r="I4" t="s">
        <v>42</v>
      </c>
      <c r="J4" s="3">
        <v>42509</v>
      </c>
      <c r="K4" t="b">
        <v>1</v>
      </c>
      <c r="L4" s="4">
        <v>5000</v>
      </c>
      <c r="M4" s="5">
        <v>3076.76</v>
      </c>
      <c r="N4" t="str">
        <f>IF(M4&gt;L4,"Alto",IF(M4&gt;L4*0.8,"Medio","Bajo"))</f>
        <v>Bajo</v>
      </c>
      <c r="O4" t="s">
        <v>33</v>
      </c>
    </row>
    <row r="5" spans="1:15" hidden="1">
      <c r="A5" t="s">
        <v>43</v>
      </c>
      <c r="B5" t="s">
        <v>44</v>
      </c>
      <c r="C5" t="s">
        <v>45</v>
      </c>
      <c r="D5" t="s">
        <v>46</v>
      </c>
      <c r="E5" s="2" t="s">
        <v>47</v>
      </c>
      <c r="F5" t="s">
        <v>48</v>
      </c>
      <c r="G5" t="s">
        <v>48</v>
      </c>
      <c r="H5" s="2" t="s">
        <v>49</v>
      </c>
      <c r="I5" t="s">
        <v>50</v>
      </c>
      <c r="J5" s="3">
        <v>45606</v>
      </c>
      <c r="K5" t="b">
        <v>0</v>
      </c>
      <c r="L5" s="4">
        <v>3000</v>
      </c>
      <c r="M5" s="5">
        <v>227.96</v>
      </c>
      <c r="N5" t="str">
        <f>IF(M5&gt;L5,"Alto",IF(M5&gt;L5*0.8,"Medio","Bajo"))</f>
        <v>Bajo</v>
      </c>
      <c r="O5" t="s">
        <v>33</v>
      </c>
    </row>
    <row r="6" spans="1:15">
      <c r="A6" t="s">
        <v>51</v>
      </c>
      <c r="B6" t="s">
        <v>52</v>
      </c>
      <c r="C6" t="s">
        <v>53</v>
      </c>
      <c r="D6" t="s">
        <v>54</v>
      </c>
      <c r="E6" s="2" t="s">
        <v>55</v>
      </c>
      <c r="F6" t="s">
        <v>39</v>
      </c>
      <c r="G6" t="s">
        <v>40</v>
      </c>
      <c r="H6" s="2" t="s">
        <v>56</v>
      </c>
      <c r="I6" t="s">
        <v>57</v>
      </c>
      <c r="J6" s="3">
        <v>44777</v>
      </c>
      <c r="K6" t="b">
        <v>1</v>
      </c>
      <c r="L6" s="4">
        <v>20000</v>
      </c>
      <c r="M6" s="5">
        <v>14343.86</v>
      </c>
      <c r="N6" t="str">
        <f>IF(M6&gt;L6,"Alto",IF(M6&gt;L6*0.8,"Medio","Bajo"))</f>
        <v>Bajo</v>
      </c>
      <c r="O6" t="s">
        <v>33</v>
      </c>
    </row>
    <row r="7" spans="1:15" hidden="1">
      <c r="A7" t="s">
        <v>58</v>
      </c>
      <c r="B7" t="s">
        <v>59</v>
      </c>
      <c r="C7" t="s">
        <v>60</v>
      </c>
      <c r="D7" t="s">
        <v>61</v>
      </c>
      <c r="E7" s="2" t="s">
        <v>62</v>
      </c>
      <c r="F7" t="s">
        <v>63</v>
      </c>
      <c r="G7" t="s">
        <v>64</v>
      </c>
      <c r="H7" s="2" t="s">
        <v>65</v>
      </c>
      <c r="I7" t="s">
        <v>66</v>
      </c>
      <c r="J7" s="3">
        <v>45201</v>
      </c>
      <c r="K7" t="b">
        <v>1</v>
      </c>
      <c r="L7" s="4">
        <v>5000</v>
      </c>
      <c r="M7" s="5">
        <v>88.95999999999999</v>
      </c>
      <c r="N7" t="str">
        <f>IF(M7&gt;L7,"Alto",IF(M7&gt;L7*0.8,"Medio","Bajo"))</f>
        <v>Bajo</v>
      </c>
      <c r="O7" t="s">
        <v>33</v>
      </c>
    </row>
    <row r="8" spans="1:15" hidden="1">
      <c r="A8" t="s">
        <v>67</v>
      </c>
      <c r="B8" t="s">
        <v>68</v>
      </c>
      <c r="C8" t="s">
        <v>69</v>
      </c>
      <c r="D8" t="s">
        <v>70</v>
      </c>
      <c r="E8" s="2" t="s">
        <v>71</v>
      </c>
      <c r="F8" t="s">
        <v>63</v>
      </c>
      <c r="G8" t="s">
        <v>64</v>
      </c>
      <c r="H8" s="2" t="s">
        <v>72</v>
      </c>
      <c r="I8" t="s">
        <v>73</v>
      </c>
      <c r="J8" s="3">
        <v>45632</v>
      </c>
      <c r="K8" t="b">
        <v>1</v>
      </c>
      <c r="L8" s="4">
        <v>10000</v>
      </c>
      <c r="M8" s="5">
        <v>5552.27</v>
      </c>
      <c r="N8" t="str">
        <f>IF(M8&gt;L8,"Alto",IF(M8&gt;L8*0.8,"Medio","Bajo"))</f>
        <v>Bajo</v>
      </c>
      <c r="O8" t="s">
        <v>33</v>
      </c>
    </row>
    <row r="9" spans="1:15" hidden="1">
      <c r="A9" t="s">
        <v>74</v>
      </c>
      <c r="B9" t="s">
        <v>75</v>
      </c>
      <c r="C9" t="s">
        <v>76</v>
      </c>
      <c r="D9" t="s">
        <v>77</v>
      </c>
      <c r="E9" s="2" t="s">
        <v>78</v>
      </c>
      <c r="F9" t="s">
        <v>63</v>
      </c>
      <c r="G9" t="s">
        <v>64</v>
      </c>
      <c r="H9" s="2" t="s">
        <v>79</v>
      </c>
      <c r="I9" t="s">
        <v>80</v>
      </c>
      <c r="J9" s="3">
        <v>43631</v>
      </c>
      <c r="K9" t="b">
        <v>1</v>
      </c>
      <c r="L9" s="4">
        <v>10000</v>
      </c>
      <c r="M9" s="5">
        <v>2011.83</v>
      </c>
      <c r="N9" t="str">
        <f>IF(M9&gt;L9,"Alto",IF(M9&gt;L9*0.8,"Medio","Bajo"))</f>
        <v>Bajo</v>
      </c>
      <c r="O9" t="s">
        <v>33</v>
      </c>
    </row>
    <row r="10" spans="1:15" hidden="1">
      <c r="A10" t="s">
        <v>81</v>
      </c>
      <c r="B10" t="s">
        <v>82</v>
      </c>
      <c r="C10" t="s">
        <v>83</v>
      </c>
      <c r="D10" t="s">
        <v>84</v>
      </c>
      <c r="E10" s="2" t="s">
        <v>85</v>
      </c>
      <c r="F10" t="s">
        <v>86</v>
      </c>
      <c r="G10" t="s">
        <v>86</v>
      </c>
      <c r="H10" s="2" t="s">
        <v>87</v>
      </c>
      <c r="I10" t="s">
        <v>88</v>
      </c>
      <c r="J10" s="3">
        <v>43376</v>
      </c>
      <c r="K10" t="b">
        <v>1</v>
      </c>
      <c r="L10" s="4">
        <v>10000</v>
      </c>
      <c r="M10" s="5">
        <v>9005.860000000001</v>
      </c>
      <c r="N10" t="str">
        <f>IF(M10&gt;L10,"Alto",IF(M10&gt;L10*0.8,"Medio","Bajo"))</f>
        <v>Medio</v>
      </c>
      <c r="O10" t="s">
        <v>33</v>
      </c>
    </row>
    <row r="11" spans="1:15" hidden="1">
      <c r="A11" t="s">
        <v>89</v>
      </c>
      <c r="B11" t="s">
        <v>90</v>
      </c>
      <c r="C11" t="s">
        <v>91</v>
      </c>
      <c r="D11" t="s">
        <v>92</v>
      </c>
      <c r="E11" s="2" t="s">
        <v>93</v>
      </c>
      <c r="F11" t="s">
        <v>63</v>
      </c>
      <c r="G11" t="s">
        <v>64</v>
      </c>
      <c r="H11" s="2" t="s">
        <v>94</v>
      </c>
      <c r="I11" t="s">
        <v>95</v>
      </c>
      <c r="J11" s="3">
        <v>42818</v>
      </c>
      <c r="K11" t="b">
        <v>1</v>
      </c>
      <c r="L11" s="4">
        <v>5000</v>
      </c>
      <c r="M11" s="5">
        <v>5700.6</v>
      </c>
      <c r="N11" t="str">
        <f>IF(M11&gt;L11,"Alto",IF(M11&gt;L11*0.8,"Medio","Bajo"))</f>
        <v>Alto</v>
      </c>
      <c r="O11" t="s">
        <v>24</v>
      </c>
    </row>
    <row r="12" spans="1:15" hidden="1">
      <c r="A12" t="s">
        <v>96</v>
      </c>
      <c r="B12" t="s">
        <v>97</v>
      </c>
      <c r="C12" t="s">
        <v>98</v>
      </c>
      <c r="D12" t="s">
        <v>99</v>
      </c>
      <c r="E12" s="2" t="s">
        <v>100</v>
      </c>
      <c r="F12" t="s">
        <v>101</v>
      </c>
      <c r="G12" t="s">
        <v>102</v>
      </c>
      <c r="H12" s="2" t="s">
        <v>103</v>
      </c>
      <c r="I12" t="s">
        <v>104</v>
      </c>
      <c r="J12" s="3">
        <v>43698</v>
      </c>
      <c r="K12" t="b">
        <v>0</v>
      </c>
      <c r="L12" s="4">
        <v>3000</v>
      </c>
      <c r="M12" s="5">
        <v>2929.78</v>
      </c>
      <c r="N12" t="str">
        <f>IF(M12&gt;L12,"Alto",IF(M12&gt;L12*0.8,"Medio","Bajo"))</f>
        <v>Medio</v>
      </c>
      <c r="O12" t="s">
        <v>33</v>
      </c>
    </row>
    <row r="13" spans="1:15" hidden="1">
      <c r="A13" t="s">
        <v>105</v>
      </c>
      <c r="B13" t="s">
        <v>106</v>
      </c>
      <c r="C13" t="s">
        <v>107</v>
      </c>
      <c r="D13" t="s">
        <v>108</v>
      </c>
      <c r="E13" s="2" t="s">
        <v>109</v>
      </c>
      <c r="F13" t="s">
        <v>110</v>
      </c>
      <c r="G13" t="s">
        <v>110</v>
      </c>
      <c r="H13" s="2" t="s">
        <v>111</v>
      </c>
      <c r="I13" t="s">
        <v>112</v>
      </c>
      <c r="J13" s="3">
        <v>43506</v>
      </c>
      <c r="K13" t="b">
        <v>0</v>
      </c>
      <c r="L13" s="4">
        <v>20000</v>
      </c>
      <c r="M13" s="5">
        <v>20809.82</v>
      </c>
      <c r="N13" t="str">
        <f>IF(M13&gt;L13,"Alto",IF(M13&gt;L13*0.8,"Medio","Bajo"))</f>
        <v>Alto</v>
      </c>
      <c r="O13" t="s">
        <v>24</v>
      </c>
    </row>
    <row r="14" spans="1:15" hidden="1">
      <c r="A14" t="s">
        <v>113</v>
      </c>
      <c r="B14" t="s">
        <v>114</v>
      </c>
      <c r="C14" t="s">
        <v>115</v>
      </c>
      <c r="D14" t="s">
        <v>116</v>
      </c>
      <c r="E14" s="2" t="s">
        <v>117</v>
      </c>
      <c r="F14" t="s">
        <v>48</v>
      </c>
      <c r="G14" t="s">
        <v>48</v>
      </c>
      <c r="H14" s="2" t="s">
        <v>118</v>
      </c>
      <c r="I14" t="s">
        <v>119</v>
      </c>
      <c r="J14" s="3">
        <v>43366</v>
      </c>
      <c r="K14" t="b">
        <v>0</v>
      </c>
      <c r="L14" s="4">
        <v>20000</v>
      </c>
      <c r="M14" s="5">
        <v>11897.27</v>
      </c>
      <c r="N14" t="str">
        <f>IF(M14&gt;L14,"Alto",IF(M14&gt;L14*0.8,"Medio","Bajo"))</f>
        <v>Bajo</v>
      </c>
      <c r="O14" t="s">
        <v>33</v>
      </c>
    </row>
    <row r="15" spans="1:15" hidden="1">
      <c r="A15" t="s">
        <v>120</v>
      </c>
      <c r="B15" t="s">
        <v>121</v>
      </c>
      <c r="C15" t="s">
        <v>122</v>
      </c>
      <c r="D15" t="s">
        <v>123</v>
      </c>
      <c r="E15" s="2" t="s">
        <v>124</v>
      </c>
      <c r="F15" t="s">
        <v>110</v>
      </c>
      <c r="G15" t="s">
        <v>110</v>
      </c>
      <c r="H15" s="2" t="s">
        <v>125</v>
      </c>
      <c r="I15" t="s">
        <v>126</v>
      </c>
      <c r="J15" s="3">
        <v>44174</v>
      </c>
      <c r="K15" t="b">
        <v>0</v>
      </c>
      <c r="L15" s="4">
        <v>20000</v>
      </c>
      <c r="M15" s="5">
        <v>13074.18</v>
      </c>
      <c r="N15" t="str">
        <f>IF(M15&gt;L15,"Alto",IF(M15&gt;L15*0.8,"Medio","Bajo"))</f>
        <v>Bajo</v>
      </c>
      <c r="O15" t="s">
        <v>33</v>
      </c>
    </row>
    <row r="16" spans="1:15">
      <c r="A16" t="s">
        <v>127</v>
      </c>
      <c r="B16" t="s">
        <v>128</v>
      </c>
      <c r="C16" t="s">
        <v>129</v>
      </c>
      <c r="D16" t="s">
        <v>130</v>
      </c>
      <c r="E16" s="2" t="s">
        <v>131</v>
      </c>
      <c r="F16" t="s">
        <v>40</v>
      </c>
      <c r="G16" t="s">
        <v>40</v>
      </c>
      <c r="H16" s="2" t="s">
        <v>132</v>
      </c>
      <c r="I16" t="s">
        <v>133</v>
      </c>
      <c r="J16" s="3">
        <v>45019</v>
      </c>
      <c r="K16" t="b">
        <v>1</v>
      </c>
      <c r="L16" s="4">
        <v>10000</v>
      </c>
      <c r="M16" s="5">
        <v>7371.37</v>
      </c>
      <c r="N16" t="str">
        <f>IF(M16&gt;L16,"Alto",IF(M16&gt;L16*0.8,"Medio","Bajo"))</f>
        <v>Bajo</v>
      </c>
      <c r="O16" t="s">
        <v>33</v>
      </c>
    </row>
    <row r="17" spans="1:15" hidden="1">
      <c r="A17" t="s">
        <v>134</v>
      </c>
      <c r="B17" t="s">
        <v>135</v>
      </c>
      <c r="C17" t="s">
        <v>136</v>
      </c>
      <c r="D17" t="s">
        <v>137</v>
      </c>
      <c r="E17" s="2" t="s">
        <v>138</v>
      </c>
      <c r="F17" t="s">
        <v>139</v>
      </c>
      <c r="G17" t="s">
        <v>139</v>
      </c>
      <c r="H17" s="2" t="s">
        <v>140</v>
      </c>
      <c r="I17" t="s">
        <v>141</v>
      </c>
      <c r="J17" s="3">
        <v>43176</v>
      </c>
      <c r="K17" t="b">
        <v>0</v>
      </c>
      <c r="L17" s="4">
        <v>3000</v>
      </c>
      <c r="M17" s="5">
        <v>1244.77</v>
      </c>
      <c r="N17" t="str">
        <f>IF(M17&gt;L17,"Alto",IF(M17&gt;L17*0.8,"Medio","Bajo"))</f>
        <v>Bajo</v>
      </c>
      <c r="O17" t="s">
        <v>33</v>
      </c>
    </row>
    <row r="18" spans="1:15" hidden="1">
      <c r="A18" t="s">
        <v>142</v>
      </c>
      <c r="B18" t="s">
        <v>143</v>
      </c>
      <c r="C18" t="s">
        <v>144</v>
      </c>
      <c r="D18" t="s">
        <v>145</v>
      </c>
      <c r="E18" s="2" t="s">
        <v>146</v>
      </c>
      <c r="F18" t="s">
        <v>147</v>
      </c>
      <c r="G18" t="s">
        <v>147</v>
      </c>
      <c r="H18" s="2" t="s">
        <v>148</v>
      </c>
      <c r="I18" t="s">
        <v>149</v>
      </c>
      <c r="J18" s="3">
        <v>42533</v>
      </c>
      <c r="K18" t="b">
        <v>1</v>
      </c>
      <c r="L18" s="4">
        <v>20000</v>
      </c>
      <c r="M18" s="5">
        <v>14792.88</v>
      </c>
      <c r="N18" t="str">
        <f>IF(M18&gt;L18,"Alto",IF(M18&gt;L18*0.8,"Medio","Bajo"))</f>
        <v>Bajo</v>
      </c>
      <c r="O18" t="s">
        <v>33</v>
      </c>
    </row>
    <row r="19" spans="1:15" hidden="1">
      <c r="A19" t="s">
        <v>150</v>
      </c>
      <c r="B19" t="s">
        <v>151</v>
      </c>
      <c r="C19" t="s">
        <v>152</v>
      </c>
      <c r="D19" t="s">
        <v>153</v>
      </c>
      <c r="E19" s="2" t="s">
        <v>154</v>
      </c>
      <c r="F19" t="s">
        <v>101</v>
      </c>
      <c r="G19" t="s">
        <v>102</v>
      </c>
      <c r="H19" s="2" t="s">
        <v>155</v>
      </c>
      <c r="I19" t="s">
        <v>156</v>
      </c>
      <c r="J19" s="3">
        <v>45721</v>
      </c>
      <c r="K19" t="b">
        <v>1</v>
      </c>
      <c r="L19" s="4">
        <v>20000</v>
      </c>
      <c r="M19" s="5">
        <v>5630.04</v>
      </c>
      <c r="N19" t="str">
        <f>IF(M19&gt;L19,"Alto",IF(M19&gt;L19*0.8,"Medio","Bajo"))</f>
        <v>Bajo</v>
      </c>
      <c r="O19" t="s">
        <v>33</v>
      </c>
    </row>
    <row r="20" spans="1:15">
      <c r="A20" t="s">
        <v>157</v>
      </c>
      <c r="B20" t="s">
        <v>158</v>
      </c>
      <c r="C20" t="s">
        <v>159</v>
      </c>
      <c r="D20" t="s">
        <v>160</v>
      </c>
      <c r="E20" s="2" t="s">
        <v>161</v>
      </c>
      <c r="F20" t="s">
        <v>162</v>
      </c>
      <c r="G20" t="s">
        <v>30</v>
      </c>
      <c r="H20" s="2" t="s">
        <v>163</v>
      </c>
      <c r="I20" t="s">
        <v>164</v>
      </c>
      <c r="J20" s="3">
        <v>42140</v>
      </c>
      <c r="K20" t="b">
        <v>0</v>
      </c>
      <c r="L20" s="4">
        <v>5000</v>
      </c>
      <c r="M20" s="5">
        <v>2302.44</v>
      </c>
      <c r="N20" t="str">
        <f>IF(M20&gt;L20,"Alto",IF(M20&gt;L20*0.8,"Medio","Bajo"))</f>
        <v>Bajo</v>
      </c>
      <c r="O20" t="s">
        <v>33</v>
      </c>
    </row>
    <row r="21" spans="1:15" hidden="1">
      <c r="A21" t="s">
        <v>165</v>
      </c>
      <c r="B21" t="s">
        <v>166</v>
      </c>
      <c r="C21" t="s">
        <v>167</v>
      </c>
      <c r="D21" t="s">
        <v>61</v>
      </c>
      <c r="E21" s="2" t="s">
        <v>168</v>
      </c>
      <c r="F21" t="s">
        <v>147</v>
      </c>
      <c r="G21" t="s">
        <v>147</v>
      </c>
      <c r="H21" s="2" t="s">
        <v>169</v>
      </c>
      <c r="I21" t="s">
        <v>170</v>
      </c>
      <c r="J21" s="3">
        <v>44055</v>
      </c>
      <c r="K21" t="b">
        <v>0</v>
      </c>
      <c r="L21" s="4">
        <v>20000</v>
      </c>
      <c r="M21" s="5">
        <v>23825.03</v>
      </c>
      <c r="N21" t="str">
        <f>IF(M21&gt;L21,"Alto",IF(M21&gt;L21*0.8,"Medio","Bajo"))</f>
        <v>Alto</v>
      </c>
      <c r="O21" t="s">
        <v>24</v>
      </c>
    </row>
    <row r="22" spans="1:15">
      <c r="A22" t="s">
        <v>171</v>
      </c>
      <c r="B22" t="s">
        <v>172</v>
      </c>
      <c r="C22" t="s">
        <v>173</v>
      </c>
      <c r="D22" t="s">
        <v>174</v>
      </c>
      <c r="E22" s="2" t="s">
        <v>175</v>
      </c>
      <c r="F22" t="s">
        <v>162</v>
      </c>
      <c r="G22" t="s">
        <v>30</v>
      </c>
      <c r="H22" s="2" t="s">
        <v>176</v>
      </c>
      <c r="I22" t="s">
        <v>177</v>
      </c>
      <c r="J22" s="3">
        <v>43277</v>
      </c>
      <c r="K22" t="b">
        <v>0</v>
      </c>
      <c r="L22" s="4">
        <v>20000</v>
      </c>
      <c r="M22" s="5">
        <v>6794.41</v>
      </c>
      <c r="N22" t="str">
        <f>IF(M22&gt;L22,"Alto",IF(M22&gt;L22*0.8,"Medio","Bajo"))</f>
        <v>Bajo</v>
      </c>
      <c r="O22" t="s">
        <v>33</v>
      </c>
    </row>
    <row r="23" spans="1:15">
      <c r="A23" t="s">
        <v>178</v>
      </c>
      <c r="B23" t="s">
        <v>75</v>
      </c>
      <c r="C23" t="s">
        <v>179</v>
      </c>
      <c r="D23" t="s">
        <v>180</v>
      </c>
      <c r="E23" s="2" t="s">
        <v>181</v>
      </c>
      <c r="F23" t="s">
        <v>40</v>
      </c>
      <c r="G23" t="s">
        <v>40</v>
      </c>
      <c r="H23" s="2" t="s">
        <v>182</v>
      </c>
      <c r="I23" t="s">
        <v>183</v>
      </c>
      <c r="J23" s="3">
        <v>45809</v>
      </c>
      <c r="K23" t="b">
        <v>1</v>
      </c>
      <c r="L23" s="4">
        <v>10000</v>
      </c>
      <c r="M23" s="5">
        <v>9652.200000000001</v>
      </c>
      <c r="N23" t="str">
        <f>IF(M23&gt;L23,"Alto",IF(M23&gt;L23*0.8,"Medio","Bajo"))</f>
        <v>Medio</v>
      </c>
      <c r="O23" t="s">
        <v>33</v>
      </c>
    </row>
    <row r="24" spans="1:15" hidden="1">
      <c r="A24" t="s">
        <v>184</v>
      </c>
      <c r="B24" t="s">
        <v>185</v>
      </c>
      <c r="C24" t="s">
        <v>186</v>
      </c>
      <c r="D24" t="s">
        <v>187</v>
      </c>
      <c r="E24" s="2" t="s">
        <v>188</v>
      </c>
      <c r="F24" t="s">
        <v>147</v>
      </c>
      <c r="G24" t="s">
        <v>147</v>
      </c>
      <c r="H24" s="2" t="s">
        <v>189</v>
      </c>
      <c r="I24" t="s">
        <v>190</v>
      </c>
      <c r="J24" s="3">
        <v>44835</v>
      </c>
      <c r="K24" t="b">
        <v>0</v>
      </c>
      <c r="L24" s="4">
        <v>3000</v>
      </c>
      <c r="M24" s="5">
        <v>1553.44</v>
      </c>
      <c r="N24" t="str">
        <f>IF(M24&gt;L24,"Alto",IF(M24&gt;L24*0.8,"Medio","Bajo"))</f>
        <v>Bajo</v>
      </c>
      <c r="O24" t="s">
        <v>33</v>
      </c>
    </row>
    <row r="25" spans="1:15" hidden="1">
      <c r="A25" t="s">
        <v>191</v>
      </c>
      <c r="B25" t="s">
        <v>192</v>
      </c>
      <c r="C25" t="s">
        <v>193</v>
      </c>
      <c r="D25" t="s">
        <v>194</v>
      </c>
      <c r="E25" s="2" t="s">
        <v>195</v>
      </c>
      <c r="F25" t="s">
        <v>196</v>
      </c>
      <c r="G25" t="s">
        <v>196</v>
      </c>
      <c r="H25" s="2" t="s">
        <v>197</v>
      </c>
      <c r="I25" t="s">
        <v>198</v>
      </c>
      <c r="J25" s="3">
        <v>45692</v>
      </c>
      <c r="K25" t="b">
        <v>1</v>
      </c>
      <c r="L25" s="4">
        <v>10000</v>
      </c>
      <c r="M25" s="5">
        <v>749.1799999999999</v>
      </c>
      <c r="N25" t="str">
        <f>IF(M25&gt;L25,"Alto",IF(M25&gt;L25*0.8,"Medio","Bajo"))</f>
        <v>Bajo</v>
      </c>
      <c r="O25" t="s">
        <v>33</v>
      </c>
    </row>
    <row r="26" spans="1:15">
      <c r="A26" t="s">
        <v>199</v>
      </c>
      <c r="B26" t="s">
        <v>200</v>
      </c>
      <c r="C26" t="s">
        <v>201</v>
      </c>
      <c r="D26" t="s">
        <v>202</v>
      </c>
      <c r="E26" s="2" t="s">
        <v>203</v>
      </c>
      <c r="F26" t="s">
        <v>162</v>
      </c>
      <c r="G26" t="s">
        <v>30</v>
      </c>
      <c r="H26" s="2" t="s">
        <v>204</v>
      </c>
      <c r="I26" t="s">
        <v>205</v>
      </c>
      <c r="J26" s="3">
        <v>43442</v>
      </c>
      <c r="K26" t="b">
        <v>1</v>
      </c>
      <c r="L26" s="4">
        <v>3000</v>
      </c>
      <c r="M26" s="5">
        <v>2144.71</v>
      </c>
      <c r="N26" t="str">
        <f>IF(M26&gt;L26,"Alto",IF(M26&gt;L26*0.8,"Medio","Bajo"))</f>
        <v>Bajo</v>
      </c>
      <c r="O26" t="s">
        <v>33</v>
      </c>
    </row>
    <row r="27" spans="1:15" hidden="1">
      <c r="A27" t="s">
        <v>206</v>
      </c>
      <c r="B27" t="s">
        <v>207</v>
      </c>
      <c r="C27" t="s">
        <v>208</v>
      </c>
      <c r="D27" t="s">
        <v>209</v>
      </c>
      <c r="E27" s="2" t="s">
        <v>210</v>
      </c>
      <c r="F27" t="s">
        <v>211</v>
      </c>
      <c r="G27" t="s">
        <v>212</v>
      </c>
      <c r="H27" s="2" t="s">
        <v>213</v>
      </c>
      <c r="I27" t="s">
        <v>214</v>
      </c>
      <c r="J27" s="3">
        <v>44960</v>
      </c>
      <c r="K27" t="b">
        <v>0</v>
      </c>
      <c r="L27" s="4">
        <v>5000</v>
      </c>
      <c r="M27" s="5">
        <v>4290.95</v>
      </c>
      <c r="N27" t="str">
        <f>IF(M27&gt;L27,"Alto",IF(M27&gt;L27*0.8,"Medio","Bajo"))</f>
        <v>Medio</v>
      </c>
      <c r="O27" t="s">
        <v>33</v>
      </c>
    </row>
    <row r="28" spans="1:15" hidden="1">
      <c r="A28" t="s">
        <v>215</v>
      </c>
      <c r="B28" t="s">
        <v>216</v>
      </c>
      <c r="C28" t="s">
        <v>217</v>
      </c>
      <c r="D28" t="s">
        <v>218</v>
      </c>
      <c r="E28" s="2" t="s">
        <v>219</v>
      </c>
      <c r="F28" t="s">
        <v>196</v>
      </c>
      <c r="G28" t="s">
        <v>196</v>
      </c>
      <c r="H28" s="2" t="s">
        <v>220</v>
      </c>
      <c r="I28" t="s">
        <v>221</v>
      </c>
      <c r="J28" s="3">
        <v>42009</v>
      </c>
      <c r="K28" t="b">
        <v>1</v>
      </c>
      <c r="L28" s="4">
        <v>3000</v>
      </c>
      <c r="M28" s="5">
        <v>1494.29</v>
      </c>
      <c r="N28" t="str">
        <f>IF(M28&gt;L28,"Alto",IF(M28&gt;L28*0.8,"Medio","Bajo"))</f>
        <v>Bajo</v>
      </c>
      <c r="O28" t="s">
        <v>33</v>
      </c>
    </row>
    <row r="29" spans="1:15" hidden="1">
      <c r="A29" t="s">
        <v>222</v>
      </c>
      <c r="B29" t="s">
        <v>223</v>
      </c>
      <c r="C29" t="s">
        <v>224</v>
      </c>
      <c r="D29" t="s">
        <v>225</v>
      </c>
      <c r="E29" s="2" t="s">
        <v>226</v>
      </c>
      <c r="F29" t="s">
        <v>227</v>
      </c>
      <c r="G29" t="s">
        <v>227</v>
      </c>
      <c r="H29" s="2" t="s">
        <v>228</v>
      </c>
      <c r="I29" t="s">
        <v>229</v>
      </c>
      <c r="J29" s="3">
        <v>44431</v>
      </c>
      <c r="K29" t="b">
        <v>0</v>
      </c>
      <c r="L29" s="4">
        <v>5000</v>
      </c>
      <c r="M29" s="5">
        <v>4064.2</v>
      </c>
      <c r="N29" t="str">
        <f>IF(M29&gt;L29,"Alto",IF(M29&gt;L29*0.8,"Medio","Bajo"))</f>
        <v>Medio</v>
      </c>
      <c r="O29" t="s">
        <v>33</v>
      </c>
    </row>
    <row r="30" spans="1:15" hidden="1">
      <c r="A30" t="s">
        <v>230</v>
      </c>
      <c r="B30" t="s">
        <v>97</v>
      </c>
      <c r="C30" t="s">
        <v>231</v>
      </c>
      <c r="D30" t="s">
        <v>232</v>
      </c>
      <c r="E30" s="2" t="s">
        <v>233</v>
      </c>
      <c r="F30" t="s">
        <v>110</v>
      </c>
      <c r="G30" t="s">
        <v>110</v>
      </c>
      <c r="H30" s="2" t="s">
        <v>234</v>
      </c>
      <c r="I30" t="s">
        <v>235</v>
      </c>
      <c r="J30" s="3">
        <v>43956</v>
      </c>
      <c r="K30" t="b">
        <v>1</v>
      </c>
      <c r="L30" s="4">
        <v>10000</v>
      </c>
      <c r="M30" s="5">
        <v>2061.6</v>
      </c>
      <c r="N30" t="str">
        <f>IF(M30&gt;L30,"Alto",IF(M30&gt;L30*0.8,"Medio","Bajo"))</f>
        <v>Bajo</v>
      </c>
      <c r="O30" t="s">
        <v>33</v>
      </c>
    </row>
    <row r="31" spans="1:15">
      <c r="A31" t="s">
        <v>236</v>
      </c>
      <c r="B31" t="s">
        <v>237</v>
      </c>
      <c r="C31" t="s">
        <v>238</v>
      </c>
      <c r="D31" t="s">
        <v>239</v>
      </c>
      <c r="E31" s="2" t="s">
        <v>240</v>
      </c>
      <c r="F31" t="s">
        <v>30</v>
      </c>
      <c r="G31" t="s">
        <v>30</v>
      </c>
      <c r="H31" s="2" t="s">
        <v>241</v>
      </c>
      <c r="I31" t="s">
        <v>242</v>
      </c>
      <c r="J31" s="3">
        <v>43643</v>
      </c>
      <c r="K31" t="b">
        <v>1</v>
      </c>
      <c r="L31" s="4">
        <v>3000</v>
      </c>
      <c r="M31" s="5">
        <v>2334.07</v>
      </c>
      <c r="N31" t="str">
        <f>IF(M31&gt;L31,"Alto",IF(M31&gt;L31*0.8,"Medio","Bajo"))</f>
        <v>Bajo</v>
      </c>
      <c r="O31" t="s">
        <v>33</v>
      </c>
    </row>
    <row r="32" spans="1:15">
      <c r="A32" t="s">
        <v>243</v>
      </c>
      <c r="B32" t="s">
        <v>244</v>
      </c>
      <c r="C32" t="s">
        <v>245</v>
      </c>
      <c r="D32" t="s">
        <v>246</v>
      </c>
      <c r="E32" s="2" t="s">
        <v>247</v>
      </c>
      <c r="F32" t="s">
        <v>40</v>
      </c>
      <c r="G32" t="s">
        <v>40</v>
      </c>
      <c r="H32" s="2" t="s">
        <v>248</v>
      </c>
      <c r="I32" t="s">
        <v>249</v>
      </c>
      <c r="J32" s="3">
        <v>45605</v>
      </c>
      <c r="K32" t="b">
        <v>0</v>
      </c>
      <c r="L32" s="4">
        <v>5000</v>
      </c>
      <c r="M32" s="5">
        <v>5461.04</v>
      </c>
      <c r="N32" t="str">
        <f>IF(M32&gt;L32,"Alto",IF(M32&gt;L32*0.8,"Medio","Bajo"))</f>
        <v>Alto</v>
      </c>
      <c r="O32" t="s">
        <v>24</v>
      </c>
    </row>
    <row r="33" spans="1:15" hidden="1">
      <c r="A33" t="s">
        <v>250</v>
      </c>
      <c r="B33" t="s">
        <v>251</v>
      </c>
      <c r="C33" t="s">
        <v>252</v>
      </c>
      <c r="D33" t="s">
        <v>253</v>
      </c>
      <c r="E33" s="2" t="s">
        <v>254</v>
      </c>
      <c r="F33" t="s">
        <v>196</v>
      </c>
      <c r="G33" t="s">
        <v>196</v>
      </c>
      <c r="H33" s="2" t="s">
        <v>255</v>
      </c>
      <c r="I33" t="s">
        <v>256</v>
      </c>
      <c r="J33" s="3">
        <v>44334</v>
      </c>
      <c r="K33" t="b">
        <v>0</v>
      </c>
      <c r="L33" s="4">
        <v>3000</v>
      </c>
      <c r="M33" s="5">
        <v>1158.66</v>
      </c>
      <c r="N33" t="str">
        <f>IF(M33&gt;L33,"Alto",IF(M33&gt;L33*0.8,"Medio","Bajo"))</f>
        <v>Bajo</v>
      </c>
      <c r="O33" t="s">
        <v>33</v>
      </c>
    </row>
    <row r="34" spans="1:15" hidden="1">
      <c r="A34" t="s">
        <v>257</v>
      </c>
      <c r="B34" t="s">
        <v>258</v>
      </c>
      <c r="C34" t="s">
        <v>259</v>
      </c>
      <c r="D34" t="s">
        <v>260</v>
      </c>
      <c r="E34" s="2" t="s">
        <v>261</v>
      </c>
      <c r="F34" t="s">
        <v>110</v>
      </c>
      <c r="G34" t="s">
        <v>110</v>
      </c>
      <c r="H34" s="2" t="s">
        <v>262</v>
      </c>
      <c r="I34" t="s">
        <v>263</v>
      </c>
      <c r="J34" s="3">
        <v>44821</v>
      </c>
      <c r="K34" t="b">
        <v>1</v>
      </c>
      <c r="L34" s="4">
        <v>10000</v>
      </c>
      <c r="M34" s="5">
        <v>4529.87</v>
      </c>
      <c r="N34" t="str">
        <f>IF(M34&gt;L34,"Alto",IF(M34&gt;L34*0.8,"Medio","Bajo"))</f>
        <v>Bajo</v>
      </c>
      <c r="O34" t="s">
        <v>33</v>
      </c>
    </row>
    <row r="35" spans="1:15" hidden="1">
      <c r="A35" t="s">
        <v>264</v>
      </c>
      <c r="B35" t="s">
        <v>265</v>
      </c>
      <c r="C35" t="s">
        <v>266</v>
      </c>
      <c r="D35" t="s">
        <v>267</v>
      </c>
      <c r="E35" s="2" t="s">
        <v>268</v>
      </c>
      <c r="F35" t="s">
        <v>110</v>
      </c>
      <c r="G35" t="s">
        <v>110</v>
      </c>
      <c r="H35" s="2" t="s">
        <v>269</v>
      </c>
      <c r="I35" t="s">
        <v>270</v>
      </c>
      <c r="J35" s="3">
        <v>45171</v>
      </c>
      <c r="K35" t="b">
        <v>1</v>
      </c>
      <c r="L35" s="4">
        <v>3000</v>
      </c>
      <c r="M35" s="5">
        <v>2342.88</v>
      </c>
      <c r="N35" t="str">
        <f>IF(M35&gt;L35,"Alto",IF(M35&gt;L35*0.8,"Medio","Bajo"))</f>
        <v>Bajo</v>
      </c>
      <c r="O35" t="s">
        <v>33</v>
      </c>
    </row>
    <row r="36" spans="1:15">
      <c r="A36" t="s">
        <v>271</v>
      </c>
      <c r="B36" t="s">
        <v>272</v>
      </c>
      <c r="C36" t="s">
        <v>273</v>
      </c>
      <c r="D36" t="s">
        <v>274</v>
      </c>
      <c r="E36" s="2" t="s">
        <v>275</v>
      </c>
      <c r="F36" t="s">
        <v>162</v>
      </c>
      <c r="G36" t="s">
        <v>30</v>
      </c>
      <c r="H36" s="2" t="s">
        <v>276</v>
      </c>
      <c r="I36" t="s">
        <v>277</v>
      </c>
      <c r="J36" s="3">
        <v>45482</v>
      </c>
      <c r="K36" t="b">
        <v>1</v>
      </c>
      <c r="L36" s="4">
        <v>10000</v>
      </c>
      <c r="M36" s="5">
        <v>2671.63</v>
      </c>
      <c r="N36" t="str">
        <f>IF(M36&gt;L36,"Alto",IF(M36&gt;L36*0.8,"Medio","Bajo"))</f>
        <v>Bajo</v>
      </c>
      <c r="O36" t="s">
        <v>33</v>
      </c>
    </row>
    <row r="37" spans="1:15" hidden="1">
      <c r="A37" t="s">
        <v>278</v>
      </c>
      <c r="B37" t="s">
        <v>279</v>
      </c>
      <c r="C37" t="s">
        <v>280</v>
      </c>
      <c r="D37" t="s">
        <v>281</v>
      </c>
      <c r="E37" s="2" t="s">
        <v>282</v>
      </c>
      <c r="F37" t="s">
        <v>86</v>
      </c>
      <c r="G37" t="s">
        <v>86</v>
      </c>
      <c r="H37" s="2" t="s">
        <v>283</v>
      </c>
      <c r="I37" t="s">
        <v>284</v>
      </c>
      <c r="J37" s="3">
        <v>44956</v>
      </c>
      <c r="K37" t="b">
        <v>1</v>
      </c>
      <c r="L37" s="4">
        <v>5000</v>
      </c>
      <c r="M37" s="5">
        <v>3409.37</v>
      </c>
      <c r="N37" t="str">
        <f>IF(M37&gt;L37,"Alto",IF(M37&gt;L37*0.8,"Medio","Bajo"))</f>
        <v>Bajo</v>
      </c>
      <c r="O37" t="s">
        <v>33</v>
      </c>
    </row>
    <row r="38" spans="1:15" hidden="1">
      <c r="A38" t="s">
        <v>285</v>
      </c>
      <c r="B38" t="s">
        <v>286</v>
      </c>
      <c r="C38" t="s">
        <v>287</v>
      </c>
      <c r="D38" t="s">
        <v>288</v>
      </c>
      <c r="E38" s="2" t="s">
        <v>289</v>
      </c>
      <c r="F38" t="s">
        <v>63</v>
      </c>
      <c r="G38" t="s">
        <v>64</v>
      </c>
      <c r="H38" s="2" t="s">
        <v>290</v>
      </c>
      <c r="I38" t="s">
        <v>291</v>
      </c>
      <c r="J38" s="3">
        <v>45190</v>
      </c>
      <c r="K38" t="b">
        <v>1</v>
      </c>
      <c r="L38" s="4">
        <v>20000</v>
      </c>
      <c r="M38" s="5">
        <v>9129.290000000001</v>
      </c>
      <c r="N38" t="str">
        <f>IF(M38&gt;L38,"Alto",IF(M38&gt;L38*0.8,"Medio","Bajo"))</f>
        <v>Bajo</v>
      </c>
      <c r="O38" t="s">
        <v>33</v>
      </c>
    </row>
    <row r="39" spans="1:15" hidden="1">
      <c r="A39" t="s">
        <v>292</v>
      </c>
      <c r="B39" t="s">
        <v>293</v>
      </c>
      <c r="C39" t="s">
        <v>294</v>
      </c>
      <c r="D39" t="s">
        <v>295</v>
      </c>
      <c r="E39" s="2" t="s">
        <v>296</v>
      </c>
      <c r="F39" t="s">
        <v>297</v>
      </c>
      <c r="G39" t="s">
        <v>297</v>
      </c>
      <c r="H39" s="2" t="s">
        <v>298</v>
      </c>
      <c r="I39" t="s">
        <v>299</v>
      </c>
      <c r="J39" s="3">
        <v>43274</v>
      </c>
      <c r="K39" t="b">
        <v>1</v>
      </c>
      <c r="L39" s="4">
        <v>10000</v>
      </c>
      <c r="M39" s="5">
        <v>9234.67</v>
      </c>
      <c r="N39" t="str">
        <f>IF(M39&gt;L39,"Alto",IF(M39&gt;L39*0.8,"Medio","Bajo"))</f>
        <v>Medio</v>
      </c>
      <c r="O39" t="s">
        <v>33</v>
      </c>
    </row>
    <row r="40" spans="1:15" hidden="1">
      <c r="A40" t="s">
        <v>300</v>
      </c>
      <c r="B40" t="s">
        <v>301</v>
      </c>
      <c r="C40" t="s">
        <v>302</v>
      </c>
      <c r="D40" t="s">
        <v>303</v>
      </c>
      <c r="E40" s="2" t="s">
        <v>304</v>
      </c>
      <c r="F40" t="s">
        <v>147</v>
      </c>
      <c r="G40" t="s">
        <v>147</v>
      </c>
      <c r="H40" s="2" t="s">
        <v>305</v>
      </c>
      <c r="I40" t="s">
        <v>306</v>
      </c>
      <c r="J40" s="3">
        <v>44222</v>
      </c>
      <c r="K40" t="b">
        <v>0</v>
      </c>
      <c r="L40" s="4">
        <v>10000</v>
      </c>
      <c r="M40" s="5">
        <v>7915.77</v>
      </c>
      <c r="N40" t="str">
        <f>IF(M40&gt;L40,"Alto",IF(M40&gt;L40*0.8,"Medio","Bajo"))</f>
        <v>Bajo</v>
      </c>
      <c r="O40" t="s">
        <v>33</v>
      </c>
    </row>
    <row r="41" spans="1:15" hidden="1">
      <c r="A41" t="s">
        <v>307</v>
      </c>
      <c r="B41" t="s">
        <v>308</v>
      </c>
      <c r="C41" t="s">
        <v>309</v>
      </c>
      <c r="D41" t="s">
        <v>310</v>
      </c>
      <c r="E41" s="2" t="s">
        <v>311</v>
      </c>
      <c r="F41" t="s">
        <v>139</v>
      </c>
      <c r="G41" t="s">
        <v>139</v>
      </c>
      <c r="H41" s="2" t="s">
        <v>312</v>
      </c>
      <c r="I41" t="s">
        <v>313</v>
      </c>
      <c r="J41" s="3">
        <v>44544</v>
      </c>
      <c r="K41" t="b">
        <v>1</v>
      </c>
      <c r="L41" s="4">
        <v>10000</v>
      </c>
      <c r="M41" s="5">
        <v>74.13</v>
      </c>
      <c r="N41" t="str">
        <f>IF(M41&gt;L41,"Alto",IF(M41&gt;L41*0.8,"Medio","Bajo"))</f>
        <v>Bajo</v>
      </c>
      <c r="O41" t="s">
        <v>33</v>
      </c>
    </row>
    <row r="42" spans="1:15">
      <c r="A42" t="s">
        <v>314</v>
      </c>
      <c r="B42" t="s">
        <v>315</v>
      </c>
      <c r="C42" t="s">
        <v>316</v>
      </c>
      <c r="D42" t="s">
        <v>317</v>
      </c>
      <c r="E42" s="2" t="s">
        <v>318</v>
      </c>
      <c r="F42" t="s">
        <v>30</v>
      </c>
      <c r="G42" t="s">
        <v>30</v>
      </c>
      <c r="H42" s="2" t="s">
        <v>319</v>
      </c>
      <c r="I42" t="s">
        <v>320</v>
      </c>
      <c r="J42" s="3">
        <v>43312</v>
      </c>
      <c r="K42" t="b">
        <v>0</v>
      </c>
      <c r="L42" s="4">
        <v>3000</v>
      </c>
      <c r="M42" s="5">
        <v>2720.32</v>
      </c>
      <c r="N42" t="str">
        <f>IF(M42&gt;L42,"Alto",IF(M42&gt;L42*0.8,"Medio","Bajo"))</f>
        <v>Medio</v>
      </c>
      <c r="O42" t="s">
        <v>33</v>
      </c>
    </row>
    <row r="43" spans="1:15" hidden="1">
      <c r="A43" t="s">
        <v>321</v>
      </c>
      <c r="B43" t="s">
        <v>322</v>
      </c>
      <c r="C43" t="s">
        <v>323</v>
      </c>
      <c r="D43" t="s">
        <v>324</v>
      </c>
      <c r="E43" s="2" t="s">
        <v>325</v>
      </c>
      <c r="F43" t="s">
        <v>196</v>
      </c>
      <c r="G43" t="s">
        <v>196</v>
      </c>
      <c r="H43" s="2" t="s">
        <v>326</v>
      </c>
      <c r="I43" t="s">
        <v>327</v>
      </c>
      <c r="J43" s="3">
        <v>42662</v>
      </c>
      <c r="K43" t="b">
        <v>0</v>
      </c>
      <c r="L43" s="4">
        <v>20000</v>
      </c>
      <c r="M43" s="5">
        <v>17974.81</v>
      </c>
      <c r="N43" t="str">
        <f>IF(M43&gt;L43,"Alto",IF(M43&gt;L43*0.8,"Medio","Bajo"))</f>
        <v>Medio</v>
      </c>
      <c r="O43" t="s">
        <v>33</v>
      </c>
    </row>
    <row r="44" spans="1:15" hidden="1">
      <c r="A44" t="s">
        <v>328</v>
      </c>
      <c r="B44" t="s">
        <v>329</v>
      </c>
      <c r="C44" t="s">
        <v>330</v>
      </c>
      <c r="D44" t="s">
        <v>331</v>
      </c>
      <c r="E44" s="2" t="s">
        <v>332</v>
      </c>
      <c r="F44" t="s">
        <v>63</v>
      </c>
      <c r="G44" t="s">
        <v>64</v>
      </c>
      <c r="H44" s="2" t="s">
        <v>333</v>
      </c>
      <c r="I44" t="s">
        <v>334</v>
      </c>
      <c r="J44" s="3">
        <v>42670</v>
      </c>
      <c r="K44" t="b">
        <v>0</v>
      </c>
      <c r="L44" s="4">
        <v>20000</v>
      </c>
      <c r="M44" s="5">
        <v>17956.61</v>
      </c>
      <c r="N44" t="str">
        <f>IF(M44&gt;L44,"Alto",IF(M44&gt;L44*0.8,"Medio","Bajo"))</f>
        <v>Medio</v>
      </c>
      <c r="O44" t="s">
        <v>33</v>
      </c>
    </row>
    <row r="45" spans="1:15">
      <c r="A45" t="s">
        <v>335</v>
      </c>
      <c r="B45" t="s">
        <v>336</v>
      </c>
      <c r="C45" t="s">
        <v>337</v>
      </c>
      <c r="D45" t="s">
        <v>338</v>
      </c>
      <c r="E45" s="2" t="s">
        <v>339</v>
      </c>
      <c r="F45" t="s">
        <v>39</v>
      </c>
      <c r="G45" t="s">
        <v>40</v>
      </c>
      <c r="H45" s="2" t="s">
        <v>340</v>
      </c>
      <c r="I45" t="s">
        <v>341</v>
      </c>
      <c r="J45" s="3">
        <v>42011</v>
      </c>
      <c r="K45" t="b">
        <v>0</v>
      </c>
      <c r="L45" s="4">
        <v>5000</v>
      </c>
      <c r="M45" s="5">
        <v>4870.57</v>
      </c>
      <c r="N45" t="str">
        <f>IF(M45&gt;L45,"Alto",IF(M45&gt;L45*0.8,"Medio","Bajo"))</f>
        <v>Medio</v>
      </c>
      <c r="O45" t="s">
        <v>33</v>
      </c>
    </row>
    <row r="46" spans="1:15">
      <c r="A46" t="s">
        <v>342</v>
      </c>
      <c r="B46" t="s">
        <v>343</v>
      </c>
      <c r="C46" t="s">
        <v>344</v>
      </c>
      <c r="D46" t="s">
        <v>345</v>
      </c>
      <c r="E46" s="2" t="s">
        <v>346</v>
      </c>
      <c r="F46" t="s">
        <v>30</v>
      </c>
      <c r="G46" t="s">
        <v>30</v>
      </c>
      <c r="H46" s="2" t="s">
        <v>347</v>
      </c>
      <c r="I46" t="s">
        <v>348</v>
      </c>
      <c r="J46" s="3">
        <v>43816</v>
      </c>
      <c r="K46" t="b">
        <v>1</v>
      </c>
      <c r="L46" s="4">
        <v>10000</v>
      </c>
      <c r="M46" s="5">
        <v>6728.76</v>
      </c>
      <c r="N46" t="str">
        <f>IF(M46&gt;L46,"Alto",IF(M46&gt;L46*0.8,"Medio","Bajo"))</f>
        <v>Bajo</v>
      </c>
      <c r="O46" t="s">
        <v>33</v>
      </c>
    </row>
    <row r="47" spans="1:15" hidden="1">
      <c r="A47" t="s">
        <v>349</v>
      </c>
      <c r="B47" t="s">
        <v>350</v>
      </c>
      <c r="C47" t="s">
        <v>351</v>
      </c>
      <c r="D47" t="s">
        <v>352</v>
      </c>
      <c r="E47" s="2" t="s">
        <v>353</v>
      </c>
      <c r="F47" t="s">
        <v>110</v>
      </c>
      <c r="G47" t="s">
        <v>110</v>
      </c>
      <c r="H47" s="2" t="s">
        <v>354</v>
      </c>
      <c r="I47" t="s">
        <v>355</v>
      </c>
      <c r="J47" s="3">
        <v>45734</v>
      </c>
      <c r="K47" t="b">
        <v>1</v>
      </c>
      <c r="L47" s="4">
        <v>5000</v>
      </c>
      <c r="M47" s="5">
        <v>2173.23</v>
      </c>
      <c r="N47" t="str">
        <f>IF(M47&gt;L47,"Alto",IF(M47&gt;L47*0.8,"Medio","Bajo"))</f>
        <v>Bajo</v>
      </c>
      <c r="O47" t="s">
        <v>33</v>
      </c>
    </row>
    <row r="48" spans="1:15">
      <c r="A48" t="s">
        <v>356</v>
      </c>
      <c r="B48" t="s">
        <v>357</v>
      </c>
      <c r="C48" t="s">
        <v>358</v>
      </c>
      <c r="D48" t="s">
        <v>359</v>
      </c>
      <c r="E48" s="2" t="s">
        <v>360</v>
      </c>
      <c r="F48" t="s">
        <v>40</v>
      </c>
      <c r="G48" t="s">
        <v>40</v>
      </c>
      <c r="H48" s="2" t="s">
        <v>361</v>
      </c>
      <c r="I48" t="s">
        <v>362</v>
      </c>
      <c r="J48" s="3">
        <v>45436</v>
      </c>
      <c r="K48" t="b">
        <v>1</v>
      </c>
      <c r="L48" s="4">
        <v>20000</v>
      </c>
      <c r="M48" s="5">
        <v>6674.53</v>
      </c>
      <c r="N48" t="str">
        <f>IF(M48&gt;L48,"Alto",IF(M48&gt;L48*0.8,"Medio","Bajo"))</f>
        <v>Bajo</v>
      </c>
      <c r="O48" t="s">
        <v>33</v>
      </c>
    </row>
    <row r="49" spans="1:15">
      <c r="A49" t="s">
        <v>363</v>
      </c>
      <c r="B49" t="s">
        <v>364</v>
      </c>
      <c r="C49" t="s">
        <v>365</v>
      </c>
      <c r="D49" t="s">
        <v>366</v>
      </c>
      <c r="E49" s="2" t="s">
        <v>367</v>
      </c>
      <c r="F49" t="s">
        <v>162</v>
      </c>
      <c r="G49" t="s">
        <v>30</v>
      </c>
      <c r="H49" s="2" t="s">
        <v>368</v>
      </c>
      <c r="I49" t="s">
        <v>369</v>
      </c>
      <c r="J49" s="3">
        <v>43554</v>
      </c>
      <c r="K49" t="b">
        <v>0</v>
      </c>
      <c r="L49" s="4">
        <v>3000</v>
      </c>
      <c r="M49" s="5">
        <v>1304.61</v>
      </c>
      <c r="N49" t="str">
        <f>IF(M49&gt;L49,"Alto",IF(M49&gt;L49*0.8,"Medio","Bajo"))</f>
        <v>Bajo</v>
      </c>
      <c r="O49" t="s">
        <v>33</v>
      </c>
    </row>
    <row r="50" spans="1:15">
      <c r="A50" t="s">
        <v>370</v>
      </c>
      <c r="B50" t="s">
        <v>371</v>
      </c>
      <c r="C50" t="s">
        <v>372</v>
      </c>
      <c r="D50" t="s">
        <v>373</v>
      </c>
      <c r="E50" s="2" t="s">
        <v>374</v>
      </c>
      <c r="F50" t="s">
        <v>40</v>
      </c>
      <c r="G50" t="s">
        <v>40</v>
      </c>
      <c r="H50" s="2" t="s">
        <v>375</v>
      </c>
      <c r="I50" t="s">
        <v>376</v>
      </c>
      <c r="J50" s="3">
        <v>43179</v>
      </c>
      <c r="K50" t="b">
        <v>1</v>
      </c>
      <c r="L50" s="4">
        <v>5000</v>
      </c>
      <c r="M50" s="5">
        <v>985.41</v>
      </c>
      <c r="N50" t="str">
        <f>IF(M50&gt;L50,"Alto",IF(M50&gt;L50*0.8,"Medio","Bajo"))</f>
        <v>Bajo</v>
      </c>
      <c r="O50" t="s">
        <v>33</v>
      </c>
    </row>
    <row r="51" spans="1:15" hidden="1">
      <c r="A51" t="s">
        <v>377</v>
      </c>
      <c r="B51" t="s">
        <v>378</v>
      </c>
      <c r="C51" t="s">
        <v>379</v>
      </c>
      <c r="D51" t="s">
        <v>380</v>
      </c>
      <c r="E51" s="2" t="s">
        <v>381</v>
      </c>
      <c r="F51" t="s">
        <v>63</v>
      </c>
      <c r="G51" t="s">
        <v>64</v>
      </c>
      <c r="H51" s="2" t="s">
        <v>382</v>
      </c>
      <c r="I51" t="s">
        <v>383</v>
      </c>
      <c r="J51" s="3">
        <v>43449</v>
      </c>
      <c r="K51" t="b">
        <v>1</v>
      </c>
      <c r="L51" s="4">
        <v>10000</v>
      </c>
      <c r="M51" s="5">
        <v>11257.57</v>
      </c>
      <c r="N51" t="str">
        <f>IF(M51&gt;L51,"Alto",IF(M51&gt;L51*0.8,"Medio","Bajo"))</f>
        <v>Alto</v>
      </c>
      <c r="O51" t="s">
        <v>24</v>
      </c>
    </row>
    <row r="52" spans="1:15" hidden="1">
      <c r="A52" t="s">
        <v>384</v>
      </c>
      <c r="B52" t="s">
        <v>385</v>
      </c>
      <c r="C52" t="s">
        <v>386</v>
      </c>
      <c r="D52" t="s">
        <v>387</v>
      </c>
      <c r="E52" s="2" t="s">
        <v>388</v>
      </c>
      <c r="F52" t="s">
        <v>86</v>
      </c>
      <c r="G52" t="s">
        <v>86</v>
      </c>
      <c r="H52" s="2" t="s">
        <v>389</v>
      </c>
      <c r="I52" t="s">
        <v>390</v>
      </c>
      <c r="J52" s="3">
        <v>44047</v>
      </c>
      <c r="K52" t="b">
        <v>1</v>
      </c>
      <c r="L52" s="4">
        <v>5000</v>
      </c>
      <c r="M52" s="5">
        <v>841.21</v>
      </c>
      <c r="N52" t="str">
        <f>IF(M52&gt;L52,"Alto",IF(M52&gt;L52*0.8,"Medio","Bajo"))</f>
        <v>Bajo</v>
      </c>
      <c r="O52" t="s">
        <v>33</v>
      </c>
    </row>
    <row r="53" spans="1:15" hidden="1">
      <c r="A53" t="s">
        <v>391</v>
      </c>
      <c r="B53" t="s">
        <v>286</v>
      </c>
      <c r="C53" t="s">
        <v>392</v>
      </c>
      <c r="D53" t="s">
        <v>393</v>
      </c>
      <c r="E53" s="2" t="s">
        <v>394</v>
      </c>
      <c r="F53" t="s">
        <v>20</v>
      </c>
      <c r="G53" t="s">
        <v>21</v>
      </c>
      <c r="H53" s="2" t="s">
        <v>395</v>
      </c>
      <c r="I53" t="s">
        <v>396</v>
      </c>
      <c r="J53" s="3">
        <v>45793</v>
      </c>
      <c r="K53" t="b">
        <v>1</v>
      </c>
      <c r="L53" s="4">
        <v>5000</v>
      </c>
      <c r="M53" s="5">
        <v>1332.82</v>
      </c>
      <c r="N53" t="str">
        <f>IF(M53&gt;L53,"Alto",IF(M53&gt;L53*0.8,"Medio","Bajo"))</f>
        <v>Bajo</v>
      </c>
      <c r="O53" t="s">
        <v>33</v>
      </c>
    </row>
    <row r="54" spans="1:15" hidden="1">
      <c r="A54" t="s">
        <v>397</v>
      </c>
      <c r="B54" t="s">
        <v>398</v>
      </c>
      <c r="C54" t="s">
        <v>399</v>
      </c>
      <c r="D54" t="s">
        <v>400</v>
      </c>
      <c r="E54" s="2" t="s">
        <v>401</v>
      </c>
      <c r="F54" t="s">
        <v>20</v>
      </c>
      <c r="G54" t="s">
        <v>21</v>
      </c>
      <c r="H54" s="2" t="s">
        <v>402</v>
      </c>
      <c r="I54" t="s">
        <v>403</v>
      </c>
      <c r="J54" s="3">
        <v>42826</v>
      </c>
      <c r="K54" t="b">
        <v>1</v>
      </c>
      <c r="L54" s="4">
        <v>5000</v>
      </c>
      <c r="M54" s="5">
        <v>4149.88</v>
      </c>
      <c r="N54" t="str">
        <f>IF(M54&gt;L54,"Alto",IF(M54&gt;L54*0.8,"Medio","Bajo"))</f>
        <v>Medio</v>
      </c>
      <c r="O54" t="s">
        <v>33</v>
      </c>
    </row>
    <row r="55" spans="1:15" hidden="1">
      <c r="A55" t="s">
        <v>404</v>
      </c>
      <c r="B55" t="s">
        <v>128</v>
      </c>
      <c r="C55" t="s">
        <v>405</v>
      </c>
      <c r="D55" t="s">
        <v>406</v>
      </c>
      <c r="E55" s="2" t="s">
        <v>407</v>
      </c>
      <c r="F55" t="s">
        <v>48</v>
      </c>
      <c r="G55" t="s">
        <v>48</v>
      </c>
      <c r="H55" s="2" t="s">
        <v>408</v>
      </c>
      <c r="I55" t="s">
        <v>409</v>
      </c>
      <c r="J55" s="3">
        <v>43609</v>
      </c>
      <c r="K55" t="b">
        <v>1</v>
      </c>
      <c r="L55" s="4">
        <v>3000</v>
      </c>
      <c r="M55" s="5">
        <v>2795.8</v>
      </c>
      <c r="N55" t="str">
        <f>IF(M55&gt;L55,"Alto",IF(M55&gt;L55*0.8,"Medio","Bajo"))</f>
        <v>Medio</v>
      </c>
      <c r="O55" t="s">
        <v>33</v>
      </c>
    </row>
    <row r="56" spans="1:15">
      <c r="A56" t="s">
        <v>410</v>
      </c>
      <c r="B56" t="s">
        <v>411</v>
      </c>
      <c r="C56" t="s">
        <v>412</v>
      </c>
      <c r="D56" t="s">
        <v>413</v>
      </c>
      <c r="E56" s="2" t="s">
        <v>414</v>
      </c>
      <c r="F56" t="s">
        <v>39</v>
      </c>
      <c r="G56" t="s">
        <v>40</v>
      </c>
      <c r="H56" s="2" t="s">
        <v>415</v>
      </c>
      <c r="I56" t="s">
        <v>416</v>
      </c>
      <c r="J56" s="3">
        <v>42415</v>
      </c>
      <c r="K56" t="b">
        <v>1</v>
      </c>
      <c r="L56" s="4">
        <v>20000</v>
      </c>
      <c r="M56" s="5">
        <v>9160.68</v>
      </c>
      <c r="N56" t="str">
        <f>IF(M56&gt;L56,"Alto",IF(M56&gt;L56*0.8,"Medio","Bajo"))</f>
        <v>Bajo</v>
      </c>
      <c r="O56" t="s">
        <v>33</v>
      </c>
    </row>
    <row r="57" spans="1:15">
      <c r="A57" t="s">
        <v>417</v>
      </c>
      <c r="B57" t="s">
        <v>418</v>
      </c>
      <c r="C57" t="s">
        <v>419</v>
      </c>
      <c r="D57" t="s">
        <v>420</v>
      </c>
      <c r="E57" s="2" t="s">
        <v>421</v>
      </c>
      <c r="F57" t="s">
        <v>40</v>
      </c>
      <c r="G57" t="s">
        <v>40</v>
      </c>
      <c r="H57" s="2" t="s">
        <v>422</v>
      </c>
      <c r="I57" t="s">
        <v>423</v>
      </c>
      <c r="J57" s="3">
        <v>42514</v>
      </c>
      <c r="K57" t="b">
        <v>1</v>
      </c>
      <c r="L57" s="4">
        <v>10000</v>
      </c>
      <c r="M57" s="5">
        <v>3722.82</v>
      </c>
      <c r="N57" t="str">
        <f>IF(M57&gt;L57,"Alto",IF(M57&gt;L57*0.8,"Medio","Bajo"))</f>
        <v>Bajo</v>
      </c>
      <c r="O57" t="s">
        <v>33</v>
      </c>
    </row>
    <row r="58" spans="1:15" hidden="1">
      <c r="A58" t="s">
        <v>424</v>
      </c>
      <c r="B58" t="s">
        <v>272</v>
      </c>
      <c r="C58" t="s">
        <v>425</v>
      </c>
      <c r="D58" t="s">
        <v>426</v>
      </c>
      <c r="E58" s="2" t="s">
        <v>427</v>
      </c>
      <c r="F58" t="s">
        <v>48</v>
      </c>
      <c r="G58" t="s">
        <v>48</v>
      </c>
      <c r="H58" s="2" t="s">
        <v>428</v>
      </c>
      <c r="I58" t="s">
        <v>429</v>
      </c>
      <c r="J58" s="3">
        <v>45557</v>
      </c>
      <c r="K58" t="b">
        <v>0</v>
      </c>
      <c r="L58" s="4">
        <v>3000</v>
      </c>
      <c r="M58" s="5">
        <v>1748.61</v>
      </c>
      <c r="N58" t="str">
        <f>IF(M58&gt;L58,"Alto",IF(M58&gt;L58*0.8,"Medio","Bajo"))</f>
        <v>Bajo</v>
      </c>
      <c r="O58" t="s">
        <v>33</v>
      </c>
    </row>
    <row r="59" spans="1:15" hidden="1">
      <c r="A59" t="s">
        <v>430</v>
      </c>
      <c r="B59" t="s">
        <v>431</v>
      </c>
      <c r="C59" t="s">
        <v>432</v>
      </c>
      <c r="D59" t="s">
        <v>413</v>
      </c>
      <c r="E59" s="2" t="s">
        <v>433</v>
      </c>
      <c r="F59" t="s">
        <v>110</v>
      </c>
      <c r="G59" t="s">
        <v>110</v>
      </c>
      <c r="H59" s="2" t="s">
        <v>434</v>
      </c>
      <c r="I59" t="s">
        <v>435</v>
      </c>
      <c r="J59" s="3">
        <v>44028</v>
      </c>
      <c r="K59" t="b">
        <v>1</v>
      </c>
      <c r="L59" s="4">
        <v>10000</v>
      </c>
      <c r="M59" s="5">
        <v>9010.059999999999</v>
      </c>
      <c r="N59" t="str">
        <f>IF(M59&gt;L59,"Alto",IF(M59&gt;L59*0.8,"Medio","Bajo"))</f>
        <v>Medio</v>
      </c>
      <c r="O59" t="s">
        <v>33</v>
      </c>
    </row>
    <row r="60" spans="1:15" hidden="1">
      <c r="A60" t="s">
        <v>436</v>
      </c>
      <c r="B60" t="s">
        <v>437</v>
      </c>
      <c r="C60" t="s">
        <v>438</v>
      </c>
      <c r="D60" t="s">
        <v>439</v>
      </c>
      <c r="E60" s="2" t="s">
        <v>440</v>
      </c>
      <c r="F60" t="s">
        <v>110</v>
      </c>
      <c r="G60" t="s">
        <v>110</v>
      </c>
      <c r="H60" s="2" t="s">
        <v>441</v>
      </c>
      <c r="I60" t="s">
        <v>442</v>
      </c>
      <c r="J60" s="3">
        <v>43093</v>
      </c>
      <c r="K60" t="b">
        <v>1</v>
      </c>
      <c r="L60" s="4">
        <v>10000</v>
      </c>
      <c r="M60" s="5">
        <v>5394.62</v>
      </c>
      <c r="N60" t="str">
        <f>IF(M60&gt;L60,"Alto",IF(M60&gt;L60*0.8,"Medio","Bajo"))</f>
        <v>Bajo</v>
      </c>
      <c r="O60" t="s">
        <v>33</v>
      </c>
    </row>
    <row r="61" spans="1:15">
      <c r="A61" t="s">
        <v>443</v>
      </c>
      <c r="B61" t="s">
        <v>444</v>
      </c>
      <c r="C61" t="s">
        <v>445</v>
      </c>
      <c r="D61" t="s">
        <v>54</v>
      </c>
      <c r="E61" s="2" t="s">
        <v>446</v>
      </c>
      <c r="F61" t="s">
        <v>162</v>
      </c>
      <c r="G61" t="s">
        <v>30</v>
      </c>
      <c r="H61" s="2" t="s">
        <v>447</v>
      </c>
      <c r="I61" t="s">
        <v>448</v>
      </c>
      <c r="J61" s="3">
        <v>44352</v>
      </c>
      <c r="K61" t="b">
        <v>1</v>
      </c>
      <c r="L61" s="4">
        <v>3000</v>
      </c>
      <c r="M61" s="5">
        <v>620.02</v>
      </c>
      <c r="N61" t="str">
        <f>IF(M61&gt;L61,"Alto",IF(M61&gt;L61*0.8,"Medio","Bajo"))</f>
        <v>Bajo</v>
      </c>
      <c r="O61" t="s">
        <v>33</v>
      </c>
    </row>
    <row r="62" spans="1:15" hidden="1">
      <c r="A62" t="s">
        <v>449</v>
      </c>
      <c r="B62" t="s">
        <v>444</v>
      </c>
      <c r="C62" t="s">
        <v>450</v>
      </c>
      <c r="D62" t="s">
        <v>451</v>
      </c>
      <c r="E62" s="2" t="s">
        <v>452</v>
      </c>
      <c r="F62" t="s">
        <v>227</v>
      </c>
      <c r="G62" t="s">
        <v>227</v>
      </c>
      <c r="H62" s="2" t="s">
        <v>453</v>
      </c>
      <c r="I62" t="s">
        <v>454</v>
      </c>
      <c r="J62" s="3">
        <v>44222</v>
      </c>
      <c r="K62" t="b">
        <v>0</v>
      </c>
      <c r="L62" s="4">
        <v>20000</v>
      </c>
      <c r="M62" s="5">
        <v>14533.47</v>
      </c>
      <c r="N62" t="str">
        <f>IF(M62&gt;L62,"Alto",IF(M62&gt;L62*0.8,"Medio","Bajo"))</f>
        <v>Bajo</v>
      </c>
      <c r="O62" t="s">
        <v>33</v>
      </c>
    </row>
    <row r="63" spans="1:15" hidden="1">
      <c r="A63" t="s">
        <v>455</v>
      </c>
      <c r="B63" t="s">
        <v>456</v>
      </c>
      <c r="C63" t="s">
        <v>457</v>
      </c>
      <c r="D63" t="s">
        <v>458</v>
      </c>
      <c r="E63" s="2" t="s">
        <v>459</v>
      </c>
      <c r="F63" t="s">
        <v>147</v>
      </c>
      <c r="G63" t="s">
        <v>147</v>
      </c>
      <c r="H63" s="2" t="s">
        <v>460</v>
      </c>
      <c r="I63" t="s">
        <v>461</v>
      </c>
      <c r="J63" s="3">
        <v>44790</v>
      </c>
      <c r="K63" t="b">
        <v>1</v>
      </c>
      <c r="L63" s="4">
        <v>20000</v>
      </c>
      <c r="M63" s="5">
        <v>8792.700000000001</v>
      </c>
      <c r="N63" t="str">
        <f>IF(M63&gt;L63,"Alto",IF(M63&gt;L63*0.8,"Medio","Bajo"))</f>
        <v>Bajo</v>
      </c>
      <c r="O63" t="s">
        <v>33</v>
      </c>
    </row>
    <row r="64" spans="1:15" hidden="1">
      <c r="A64" t="s">
        <v>462</v>
      </c>
      <c r="B64" t="s">
        <v>463</v>
      </c>
      <c r="C64" t="s">
        <v>464</v>
      </c>
      <c r="D64" t="s">
        <v>37</v>
      </c>
      <c r="E64" s="2" t="s">
        <v>465</v>
      </c>
      <c r="F64" t="s">
        <v>139</v>
      </c>
      <c r="G64" t="s">
        <v>139</v>
      </c>
      <c r="H64" s="2" t="s">
        <v>466</v>
      </c>
      <c r="I64" t="s">
        <v>467</v>
      </c>
      <c r="J64" s="3">
        <v>44020</v>
      </c>
      <c r="K64" t="b">
        <v>1</v>
      </c>
      <c r="L64" s="4">
        <v>5000</v>
      </c>
      <c r="M64" s="5">
        <v>3134.57</v>
      </c>
      <c r="N64" t="str">
        <f>IF(M64&gt;L64,"Alto",IF(M64&gt;L64*0.8,"Medio","Bajo"))</f>
        <v>Bajo</v>
      </c>
      <c r="O64" t="s">
        <v>33</v>
      </c>
    </row>
    <row r="65" spans="1:15" hidden="1">
      <c r="A65" t="s">
        <v>468</v>
      </c>
      <c r="B65" t="s">
        <v>469</v>
      </c>
      <c r="C65" t="s">
        <v>470</v>
      </c>
      <c r="D65" t="s">
        <v>471</v>
      </c>
      <c r="E65" s="2" t="s">
        <v>472</v>
      </c>
      <c r="F65" t="s">
        <v>63</v>
      </c>
      <c r="G65" t="s">
        <v>64</v>
      </c>
      <c r="H65" s="2" t="s">
        <v>473</v>
      </c>
      <c r="I65" t="s">
        <v>474</v>
      </c>
      <c r="J65" s="3">
        <v>43056</v>
      </c>
      <c r="K65" t="b">
        <v>1</v>
      </c>
      <c r="L65" s="4">
        <v>20000</v>
      </c>
      <c r="M65" s="5">
        <v>668.8</v>
      </c>
      <c r="N65" t="str">
        <f>IF(M65&gt;L65,"Alto",IF(M65&gt;L65*0.8,"Medio","Bajo"))</f>
        <v>Bajo</v>
      </c>
      <c r="O65" t="s">
        <v>33</v>
      </c>
    </row>
    <row r="66" spans="1:15" hidden="1">
      <c r="A66" t="s">
        <v>475</v>
      </c>
      <c r="B66" t="s">
        <v>476</v>
      </c>
      <c r="C66" t="s">
        <v>477</v>
      </c>
      <c r="D66" t="s">
        <v>478</v>
      </c>
      <c r="E66" s="2" t="s">
        <v>479</v>
      </c>
      <c r="F66" t="s">
        <v>48</v>
      </c>
      <c r="G66" t="s">
        <v>48</v>
      </c>
      <c r="H66" s="2" t="s">
        <v>480</v>
      </c>
      <c r="I66" t="s">
        <v>481</v>
      </c>
      <c r="J66" s="3">
        <v>45833</v>
      </c>
      <c r="K66" t="b">
        <v>1</v>
      </c>
      <c r="L66" s="4">
        <v>20000</v>
      </c>
      <c r="M66" s="5">
        <v>11124.27</v>
      </c>
      <c r="N66" t="str">
        <f>IF(M66&gt;L66,"Alto",IF(M66&gt;L66*0.8,"Medio","Bajo"))</f>
        <v>Bajo</v>
      </c>
      <c r="O66" t="s">
        <v>33</v>
      </c>
    </row>
    <row r="67" spans="1:15" hidden="1">
      <c r="A67" t="s">
        <v>482</v>
      </c>
      <c r="B67" t="s">
        <v>483</v>
      </c>
      <c r="C67" t="s">
        <v>484</v>
      </c>
      <c r="D67" t="s">
        <v>485</v>
      </c>
      <c r="E67" s="2" t="s">
        <v>486</v>
      </c>
      <c r="F67" t="s">
        <v>63</v>
      </c>
      <c r="G67" t="s">
        <v>64</v>
      </c>
      <c r="H67" s="2" t="s">
        <v>487</v>
      </c>
      <c r="I67" t="s">
        <v>488</v>
      </c>
      <c r="J67" s="3">
        <v>43024</v>
      </c>
      <c r="K67" t="b">
        <v>0</v>
      </c>
      <c r="L67" s="4">
        <v>10000</v>
      </c>
      <c r="M67" s="5">
        <v>9581.110000000001</v>
      </c>
      <c r="N67" t="str">
        <f>IF(M67&gt;L67,"Alto",IF(M67&gt;L67*0.8,"Medio","Bajo"))</f>
        <v>Medio</v>
      </c>
      <c r="O67" t="s">
        <v>33</v>
      </c>
    </row>
    <row r="68" spans="1:15" hidden="1">
      <c r="A68" t="s">
        <v>489</v>
      </c>
      <c r="B68" t="s">
        <v>322</v>
      </c>
      <c r="C68" t="s">
        <v>490</v>
      </c>
      <c r="D68" t="s">
        <v>491</v>
      </c>
      <c r="E68" s="2" t="s">
        <v>492</v>
      </c>
      <c r="F68" t="s">
        <v>20</v>
      </c>
      <c r="G68" t="s">
        <v>21</v>
      </c>
      <c r="H68" s="2" t="s">
        <v>493</v>
      </c>
      <c r="I68" t="s">
        <v>494</v>
      </c>
      <c r="J68" s="3">
        <v>42055</v>
      </c>
      <c r="K68" t="b">
        <v>1</v>
      </c>
      <c r="L68" s="4">
        <v>20000</v>
      </c>
      <c r="M68" s="5">
        <v>19106.5</v>
      </c>
      <c r="N68" t="str">
        <f>IF(M68&gt;L68,"Alto",IF(M68&gt;L68*0.8,"Medio","Bajo"))</f>
        <v>Medio</v>
      </c>
      <c r="O68" t="s">
        <v>33</v>
      </c>
    </row>
    <row r="69" spans="1:15" hidden="1">
      <c r="A69" t="s">
        <v>495</v>
      </c>
      <c r="B69" t="s">
        <v>496</v>
      </c>
      <c r="C69" t="s">
        <v>497</v>
      </c>
      <c r="D69" t="s">
        <v>498</v>
      </c>
      <c r="E69" s="2" t="s">
        <v>499</v>
      </c>
      <c r="F69" t="s">
        <v>297</v>
      </c>
      <c r="G69" t="s">
        <v>297</v>
      </c>
      <c r="H69" s="2" t="s">
        <v>500</v>
      </c>
      <c r="I69" t="s">
        <v>501</v>
      </c>
      <c r="J69" s="3">
        <v>44976</v>
      </c>
      <c r="K69" t="b">
        <v>1</v>
      </c>
      <c r="L69" s="4">
        <v>5000</v>
      </c>
      <c r="M69" s="5">
        <v>3207.22</v>
      </c>
      <c r="N69" t="str">
        <f>IF(M69&gt;L69,"Alto",IF(M69&gt;L69*0.8,"Medio","Bajo"))</f>
        <v>Bajo</v>
      </c>
      <c r="O69" t="s">
        <v>33</v>
      </c>
    </row>
    <row r="70" spans="1:15" hidden="1">
      <c r="A70" t="s">
        <v>502</v>
      </c>
      <c r="B70" t="s">
        <v>503</v>
      </c>
      <c r="C70" t="s">
        <v>504</v>
      </c>
      <c r="D70" t="s">
        <v>505</v>
      </c>
      <c r="E70" s="2" t="s">
        <v>506</v>
      </c>
      <c r="F70" t="s">
        <v>297</v>
      </c>
      <c r="G70" t="s">
        <v>297</v>
      </c>
      <c r="H70" s="2" t="s">
        <v>507</v>
      </c>
      <c r="I70" t="s">
        <v>508</v>
      </c>
      <c r="J70" s="3">
        <v>43150</v>
      </c>
      <c r="K70" t="b">
        <v>0</v>
      </c>
      <c r="L70" s="4">
        <v>5000</v>
      </c>
      <c r="M70" s="5">
        <v>1371.25</v>
      </c>
      <c r="N70" t="str">
        <f>IF(M70&gt;L70,"Alto",IF(M70&gt;L70*0.8,"Medio","Bajo"))</f>
        <v>Bajo</v>
      </c>
      <c r="O70" t="s">
        <v>33</v>
      </c>
    </row>
    <row r="71" spans="1:15" hidden="1">
      <c r="A71" t="s">
        <v>509</v>
      </c>
      <c r="B71" t="s">
        <v>223</v>
      </c>
      <c r="C71" t="s">
        <v>510</v>
      </c>
      <c r="D71" t="s">
        <v>511</v>
      </c>
      <c r="E71" s="2" t="s">
        <v>512</v>
      </c>
      <c r="F71" t="s">
        <v>196</v>
      </c>
      <c r="G71" t="s">
        <v>196</v>
      </c>
      <c r="H71" s="2" t="s">
        <v>513</v>
      </c>
      <c r="I71" t="s">
        <v>514</v>
      </c>
      <c r="J71" s="3">
        <v>43365</v>
      </c>
      <c r="K71" t="b">
        <v>1</v>
      </c>
      <c r="L71" s="4">
        <v>10000</v>
      </c>
      <c r="M71" s="5">
        <v>6926.84</v>
      </c>
      <c r="N71" t="str">
        <f>IF(M71&gt;L71,"Alto",IF(M71&gt;L71*0.8,"Medio","Bajo"))</f>
        <v>Bajo</v>
      </c>
      <c r="O71" t="s">
        <v>33</v>
      </c>
    </row>
    <row r="72" spans="1:15" hidden="1">
      <c r="A72" t="s">
        <v>515</v>
      </c>
      <c r="B72" t="s">
        <v>516</v>
      </c>
      <c r="C72" t="s">
        <v>517</v>
      </c>
      <c r="D72" t="s">
        <v>518</v>
      </c>
      <c r="E72" s="2" t="s">
        <v>519</v>
      </c>
      <c r="F72" t="s">
        <v>48</v>
      </c>
      <c r="G72" t="s">
        <v>48</v>
      </c>
      <c r="H72" s="2" t="s">
        <v>520</v>
      </c>
      <c r="I72" t="s">
        <v>521</v>
      </c>
      <c r="J72" s="3">
        <v>44123</v>
      </c>
      <c r="K72" t="b">
        <v>0</v>
      </c>
      <c r="L72" s="4">
        <v>10000</v>
      </c>
      <c r="M72" s="5">
        <v>4744.96</v>
      </c>
      <c r="N72" t="str">
        <f>IF(M72&gt;L72,"Alto",IF(M72&gt;L72*0.8,"Medio","Bajo"))</f>
        <v>Bajo</v>
      </c>
      <c r="O72" t="s">
        <v>33</v>
      </c>
    </row>
    <row r="73" spans="1:15">
      <c r="A73" t="s">
        <v>522</v>
      </c>
      <c r="B73" t="s">
        <v>523</v>
      </c>
      <c r="C73" t="s">
        <v>524</v>
      </c>
      <c r="D73" t="s">
        <v>525</v>
      </c>
      <c r="E73" s="2" t="s">
        <v>526</v>
      </c>
      <c r="F73" t="s">
        <v>39</v>
      </c>
      <c r="G73" t="s">
        <v>40</v>
      </c>
      <c r="H73" s="2" t="s">
        <v>527</v>
      </c>
      <c r="I73" t="s">
        <v>528</v>
      </c>
      <c r="J73" s="3">
        <v>42031</v>
      </c>
      <c r="K73" t="b">
        <v>0</v>
      </c>
      <c r="L73" s="4">
        <v>20000</v>
      </c>
      <c r="M73" s="5">
        <v>22457.48</v>
      </c>
      <c r="N73" t="str">
        <f>IF(M73&gt;L73,"Alto",IF(M73&gt;L73*0.8,"Medio","Bajo"))</f>
        <v>Alto</v>
      </c>
      <c r="O73" t="s">
        <v>24</v>
      </c>
    </row>
    <row r="74" spans="1:15" hidden="1">
      <c r="A74" t="s">
        <v>529</v>
      </c>
      <c r="B74" t="s">
        <v>530</v>
      </c>
      <c r="C74" t="s">
        <v>531</v>
      </c>
      <c r="D74" t="s">
        <v>532</v>
      </c>
      <c r="E74" s="2" t="s">
        <v>533</v>
      </c>
      <c r="F74" t="s">
        <v>20</v>
      </c>
      <c r="G74" t="s">
        <v>21</v>
      </c>
      <c r="H74" s="2" t="s">
        <v>534</v>
      </c>
      <c r="I74" t="s">
        <v>535</v>
      </c>
      <c r="J74" s="3">
        <v>43446</v>
      </c>
      <c r="K74" t="b">
        <v>1</v>
      </c>
      <c r="L74" s="4">
        <v>10000</v>
      </c>
      <c r="M74" s="5">
        <v>8201.549999999999</v>
      </c>
      <c r="N74" t="str">
        <f>IF(M74&gt;L74,"Alto",IF(M74&gt;L74*0.8,"Medio","Bajo"))</f>
        <v>Medio</v>
      </c>
      <c r="O74" t="s">
        <v>33</v>
      </c>
    </row>
    <row r="75" spans="1:15" hidden="1">
      <c r="A75" t="s">
        <v>536</v>
      </c>
      <c r="B75" t="s">
        <v>537</v>
      </c>
      <c r="C75" t="s">
        <v>538</v>
      </c>
      <c r="D75" t="s">
        <v>539</v>
      </c>
      <c r="E75" s="2" t="s">
        <v>540</v>
      </c>
      <c r="F75" t="s">
        <v>48</v>
      </c>
      <c r="G75" t="s">
        <v>48</v>
      </c>
      <c r="H75" s="2" t="s">
        <v>541</v>
      </c>
      <c r="I75" t="s">
        <v>542</v>
      </c>
      <c r="J75" s="3">
        <v>45109</v>
      </c>
      <c r="K75" t="b">
        <v>1</v>
      </c>
      <c r="L75" s="4">
        <v>5000</v>
      </c>
      <c r="M75" s="5">
        <v>5166.13</v>
      </c>
      <c r="N75" t="str">
        <f>IF(M75&gt;L75,"Alto",IF(M75&gt;L75*0.8,"Medio","Bajo"))</f>
        <v>Alto</v>
      </c>
      <c r="O75" t="s">
        <v>24</v>
      </c>
    </row>
    <row r="76" spans="1:15" hidden="1">
      <c r="A76" t="s">
        <v>543</v>
      </c>
      <c r="B76" t="s">
        <v>544</v>
      </c>
      <c r="C76" t="s">
        <v>545</v>
      </c>
      <c r="D76" t="s">
        <v>180</v>
      </c>
      <c r="E76" s="2" t="s">
        <v>546</v>
      </c>
      <c r="F76" t="s">
        <v>147</v>
      </c>
      <c r="G76" t="s">
        <v>147</v>
      </c>
      <c r="H76" s="2" t="s">
        <v>547</v>
      </c>
      <c r="I76" t="s">
        <v>548</v>
      </c>
      <c r="J76" s="3">
        <v>43788</v>
      </c>
      <c r="K76" t="b">
        <v>1</v>
      </c>
      <c r="L76" s="4">
        <v>3000</v>
      </c>
      <c r="M76" s="5">
        <v>2214.67</v>
      </c>
      <c r="N76" t="str">
        <f>IF(M76&gt;L76,"Alto",IF(M76&gt;L76*0.8,"Medio","Bajo"))</f>
        <v>Bajo</v>
      </c>
      <c r="O76" t="s">
        <v>33</v>
      </c>
    </row>
    <row r="77" spans="1:15" hidden="1">
      <c r="A77" t="s">
        <v>549</v>
      </c>
      <c r="B77" t="s">
        <v>550</v>
      </c>
      <c r="C77" t="s">
        <v>551</v>
      </c>
      <c r="D77" t="s">
        <v>552</v>
      </c>
      <c r="E77" s="2" t="s">
        <v>553</v>
      </c>
      <c r="F77" t="s">
        <v>20</v>
      </c>
      <c r="G77" t="s">
        <v>21</v>
      </c>
      <c r="H77" s="2" t="s">
        <v>554</v>
      </c>
      <c r="I77" t="s">
        <v>555</v>
      </c>
      <c r="J77" s="3">
        <v>44355</v>
      </c>
      <c r="K77" t="b">
        <v>0</v>
      </c>
      <c r="L77" s="4">
        <v>10000</v>
      </c>
      <c r="M77" s="5">
        <v>155.55</v>
      </c>
      <c r="N77" t="str">
        <f>IF(M77&gt;L77,"Alto",IF(M77&gt;L77*0.8,"Medio","Bajo"))</f>
        <v>Bajo</v>
      </c>
      <c r="O77" t="s">
        <v>33</v>
      </c>
    </row>
    <row r="78" spans="1:15" hidden="1">
      <c r="A78" t="s">
        <v>556</v>
      </c>
      <c r="B78" t="s">
        <v>557</v>
      </c>
      <c r="C78" t="s">
        <v>558</v>
      </c>
      <c r="D78" t="s">
        <v>559</v>
      </c>
      <c r="E78" s="2" t="s">
        <v>560</v>
      </c>
      <c r="F78" t="s">
        <v>196</v>
      </c>
      <c r="G78" t="s">
        <v>196</v>
      </c>
      <c r="H78" s="2" t="s">
        <v>561</v>
      </c>
      <c r="I78" t="s">
        <v>562</v>
      </c>
      <c r="J78" s="3">
        <v>43445</v>
      </c>
      <c r="K78" t="b">
        <v>1</v>
      </c>
      <c r="L78" s="4">
        <v>3000</v>
      </c>
      <c r="M78" s="5">
        <v>582.8</v>
      </c>
      <c r="N78" t="str">
        <f>IF(M78&gt;L78,"Alto",IF(M78&gt;L78*0.8,"Medio","Bajo"))</f>
        <v>Bajo</v>
      </c>
      <c r="O78" t="s">
        <v>33</v>
      </c>
    </row>
    <row r="79" spans="1:15" hidden="1">
      <c r="A79" t="s">
        <v>563</v>
      </c>
      <c r="B79" t="s">
        <v>564</v>
      </c>
      <c r="C79" t="s">
        <v>565</v>
      </c>
      <c r="D79" t="s">
        <v>566</v>
      </c>
      <c r="E79" s="2" t="s">
        <v>567</v>
      </c>
      <c r="F79" t="s">
        <v>211</v>
      </c>
      <c r="G79" t="s">
        <v>212</v>
      </c>
      <c r="H79" s="2" t="s">
        <v>568</v>
      </c>
      <c r="I79" t="s">
        <v>569</v>
      </c>
      <c r="J79" s="3">
        <v>44375</v>
      </c>
      <c r="K79" t="b">
        <v>1</v>
      </c>
      <c r="L79" s="4">
        <v>3000</v>
      </c>
      <c r="M79" s="5">
        <v>390.2</v>
      </c>
      <c r="N79" t="str">
        <f>IF(M79&gt;L79,"Alto",IF(M79&gt;L79*0.8,"Medio","Bajo"))</f>
        <v>Bajo</v>
      </c>
      <c r="O79" t="s">
        <v>33</v>
      </c>
    </row>
    <row r="80" spans="1:15" hidden="1">
      <c r="A80" t="s">
        <v>570</v>
      </c>
      <c r="B80" t="s">
        <v>571</v>
      </c>
      <c r="C80" t="s">
        <v>572</v>
      </c>
      <c r="D80" t="s">
        <v>573</v>
      </c>
      <c r="E80" s="2" t="s">
        <v>574</v>
      </c>
      <c r="F80" t="s">
        <v>48</v>
      </c>
      <c r="G80" t="s">
        <v>48</v>
      </c>
      <c r="H80" s="2" t="s">
        <v>575</v>
      </c>
      <c r="I80" t="s">
        <v>576</v>
      </c>
      <c r="J80" s="3">
        <v>42616</v>
      </c>
      <c r="K80" t="b">
        <v>1</v>
      </c>
      <c r="L80" s="4">
        <v>20000</v>
      </c>
      <c r="M80" s="5">
        <v>12444.31</v>
      </c>
      <c r="N80" t="str">
        <f>IF(M80&gt;L80,"Alto",IF(M80&gt;L80*0.8,"Medio","Bajo"))</f>
        <v>Bajo</v>
      </c>
      <c r="O80" t="s">
        <v>33</v>
      </c>
    </row>
    <row r="81" spans="1:15" hidden="1">
      <c r="A81" t="s">
        <v>577</v>
      </c>
      <c r="B81" t="s">
        <v>90</v>
      </c>
      <c r="C81" t="s">
        <v>578</v>
      </c>
      <c r="D81" t="s">
        <v>579</v>
      </c>
      <c r="E81" s="2" t="s">
        <v>580</v>
      </c>
      <c r="F81" t="s">
        <v>110</v>
      </c>
      <c r="G81" t="s">
        <v>110</v>
      </c>
      <c r="H81" s="2" t="s">
        <v>581</v>
      </c>
      <c r="I81" t="s">
        <v>582</v>
      </c>
      <c r="J81" s="3">
        <v>45477</v>
      </c>
      <c r="K81" t="b">
        <v>1</v>
      </c>
      <c r="L81" s="4">
        <v>10000</v>
      </c>
      <c r="M81" s="5">
        <v>2358.13</v>
      </c>
      <c r="N81" t="str">
        <f>IF(M81&gt;L81,"Alto",IF(M81&gt;L81*0.8,"Medio","Bajo"))</f>
        <v>Bajo</v>
      </c>
      <c r="O81" t="s">
        <v>33</v>
      </c>
    </row>
    <row r="82" spans="1:15">
      <c r="A82" t="s">
        <v>583</v>
      </c>
      <c r="B82" t="s">
        <v>584</v>
      </c>
      <c r="C82" t="s">
        <v>585</v>
      </c>
      <c r="D82" t="s">
        <v>586</v>
      </c>
      <c r="E82" s="2" t="s">
        <v>587</v>
      </c>
      <c r="F82" t="s">
        <v>39</v>
      </c>
      <c r="G82" t="s">
        <v>40</v>
      </c>
      <c r="H82" s="2" t="s">
        <v>588</v>
      </c>
      <c r="I82" t="s">
        <v>589</v>
      </c>
      <c r="J82" s="3">
        <v>43067</v>
      </c>
      <c r="K82" t="b">
        <v>1</v>
      </c>
      <c r="L82" s="4">
        <v>3000</v>
      </c>
      <c r="M82" s="5">
        <v>105.06</v>
      </c>
      <c r="N82" t="str">
        <f>IF(M82&gt;L82,"Alto",IF(M82&gt;L82*0.8,"Medio","Bajo"))</f>
        <v>Bajo</v>
      </c>
      <c r="O82" t="s">
        <v>33</v>
      </c>
    </row>
    <row r="83" spans="1:15">
      <c r="A83" t="s">
        <v>590</v>
      </c>
      <c r="B83" t="s">
        <v>591</v>
      </c>
      <c r="C83" t="s">
        <v>592</v>
      </c>
      <c r="D83" t="s">
        <v>593</v>
      </c>
      <c r="E83" s="2" t="s">
        <v>594</v>
      </c>
      <c r="F83" t="s">
        <v>39</v>
      </c>
      <c r="G83" t="s">
        <v>40</v>
      </c>
      <c r="H83" s="2" t="s">
        <v>595</v>
      </c>
      <c r="I83" t="s">
        <v>596</v>
      </c>
      <c r="J83" s="3">
        <v>43960</v>
      </c>
      <c r="K83" t="b">
        <v>1</v>
      </c>
      <c r="L83" s="4">
        <v>3000</v>
      </c>
      <c r="M83" s="5">
        <v>3498.39</v>
      </c>
      <c r="N83" t="str">
        <f>IF(M83&gt;L83,"Alto",IF(M83&gt;L83*0.8,"Medio","Bajo"))</f>
        <v>Alto</v>
      </c>
      <c r="O83" t="s">
        <v>24</v>
      </c>
    </row>
    <row r="84" spans="1:15">
      <c r="A84" t="s">
        <v>597</v>
      </c>
      <c r="B84" t="s">
        <v>598</v>
      </c>
      <c r="C84" t="s">
        <v>599</v>
      </c>
      <c r="D84" t="s">
        <v>600</v>
      </c>
      <c r="E84" s="2" t="s">
        <v>601</v>
      </c>
      <c r="F84" t="s">
        <v>39</v>
      </c>
      <c r="G84" t="s">
        <v>40</v>
      </c>
      <c r="H84" s="2" t="s">
        <v>602</v>
      </c>
      <c r="I84" t="s">
        <v>603</v>
      </c>
      <c r="J84" s="3">
        <v>42212</v>
      </c>
      <c r="K84" t="b">
        <v>0</v>
      </c>
      <c r="L84" s="4">
        <v>10000</v>
      </c>
      <c r="M84" s="5">
        <v>8426.65</v>
      </c>
      <c r="N84" t="str">
        <f>IF(M84&gt;L84,"Alto",IF(M84&gt;L84*0.8,"Medio","Bajo"))</f>
        <v>Medio</v>
      </c>
      <c r="O84" t="s">
        <v>33</v>
      </c>
    </row>
    <row r="85" spans="1:15" hidden="1">
      <c r="A85" t="s">
        <v>604</v>
      </c>
      <c r="B85" t="s">
        <v>605</v>
      </c>
      <c r="C85" t="s">
        <v>606</v>
      </c>
      <c r="D85" t="s">
        <v>607</v>
      </c>
      <c r="E85" s="2" t="s">
        <v>608</v>
      </c>
      <c r="F85" t="s">
        <v>297</v>
      </c>
      <c r="G85" t="s">
        <v>297</v>
      </c>
      <c r="H85" s="2" t="s">
        <v>609</v>
      </c>
      <c r="I85" t="s">
        <v>610</v>
      </c>
      <c r="J85" s="3">
        <v>45810</v>
      </c>
      <c r="K85" t="b">
        <v>1</v>
      </c>
      <c r="L85" s="4">
        <v>5000</v>
      </c>
      <c r="M85" s="5">
        <v>5242.01</v>
      </c>
      <c r="N85" t="str">
        <f>IF(M85&gt;L85,"Alto",IF(M85&gt;L85*0.8,"Medio","Bajo"))</f>
        <v>Alto</v>
      </c>
      <c r="O85" t="s">
        <v>24</v>
      </c>
    </row>
    <row r="86" spans="1:15" hidden="1">
      <c r="A86" t="s">
        <v>611</v>
      </c>
      <c r="B86" t="s">
        <v>265</v>
      </c>
      <c r="C86" t="s">
        <v>612</v>
      </c>
      <c r="D86" t="s">
        <v>593</v>
      </c>
      <c r="E86" s="2" t="s">
        <v>613</v>
      </c>
      <c r="F86" t="s">
        <v>297</v>
      </c>
      <c r="G86" t="s">
        <v>297</v>
      </c>
      <c r="H86" s="2" t="s">
        <v>614</v>
      </c>
      <c r="I86" t="s">
        <v>615</v>
      </c>
      <c r="J86" s="3">
        <v>43322</v>
      </c>
      <c r="K86" t="b">
        <v>1</v>
      </c>
      <c r="L86" s="4">
        <v>20000</v>
      </c>
      <c r="M86" s="5">
        <v>3021.34</v>
      </c>
      <c r="N86" t="str">
        <f>IF(M86&gt;L86,"Alto",IF(M86&gt;L86*0.8,"Medio","Bajo"))</f>
        <v>Bajo</v>
      </c>
      <c r="O86" t="s">
        <v>33</v>
      </c>
    </row>
    <row r="87" spans="1:15" hidden="1">
      <c r="A87" t="s">
        <v>616</v>
      </c>
      <c r="B87" t="s">
        <v>617</v>
      </c>
      <c r="C87" t="s">
        <v>618</v>
      </c>
      <c r="D87" t="s">
        <v>619</v>
      </c>
      <c r="E87" s="2" t="s">
        <v>620</v>
      </c>
      <c r="F87" t="s">
        <v>110</v>
      </c>
      <c r="G87" t="s">
        <v>110</v>
      </c>
      <c r="H87" s="2" t="s">
        <v>621</v>
      </c>
      <c r="I87" t="s">
        <v>622</v>
      </c>
      <c r="J87" s="3">
        <v>45028</v>
      </c>
      <c r="K87" t="b">
        <v>1</v>
      </c>
      <c r="L87" s="4">
        <v>5000</v>
      </c>
      <c r="M87" s="5">
        <v>4666.47</v>
      </c>
      <c r="N87" t="str">
        <f>IF(M87&gt;L87,"Alto",IF(M87&gt;L87*0.8,"Medio","Bajo"))</f>
        <v>Medio</v>
      </c>
      <c r="O87" t="s">
        <v>33</v>
      </c>
    </row>
    <row r="88" spans="1:15">
      <c r="A88" t="s">
        <v>623</v>
      </c>
      <c r="B88" t="s">
        <v>624</v>
      </c>
      <c r="C88" t="s">
        <v>625</v>
      </c>
      <c r="D88" t="s">
        <v>626</v>
      </c>
      <c r="E88" s="2" t="s">
        <v>627</v>
      </c>
      <c r="F88" t="s">
        <v>30</v>
      </c>
      <c r="G88" t="s">
        <v>30</v>
      </c>
      <c r="H88" s="2" t="s">
        <v>628</v>
      </c>
      <c r="I88" t="s">
        <v>629</v>
      </c>
      <c r="J88" s="3">
        <v>44116</v>
      </c>
      <c r="K88" t="b">
        <v>0</v>
      </c>
      <c r="L88" s="4">
        <v>10000</v>
      </c>
      <c r="M88" s="5">
        <v>10640.49</v>
      </c>
      <c r="N88" t="str">
        <f>IF(M88&gt;L88,"Alto",IF(M88&gt;L88*0.8,"Medio","Bajo"))</f>
        <v>Alto</v>
      </c>
      <c r="O88" t="s">
        <v>24</v>
      </c>
    </row>
    <row r="89" spans="1:15" hidden="1">
      <c r="A89" t="s">
        <v>630</v>
      </c>
      <c r="B89" t="s">
        <v>631</v>
      </c>
      <c r="C89" t="s">
        <v>632</v>
      </c>
      <c r="D89" t="s">
        <v>633</v>
      </c>
      <c r="E89" s="2" t="s">
        <v>634</v>
      </c>
      <c r="F89" t="s">
        <v>139</v>
      </c>
      <c r="G89" t="s">
        <v>139</v>
      </c>
      <c r="H89" s="2" t="s">
        <v>635</v>
      </c>
      <c r="I89" t="s">
        <v>636</v>
      </c>
      <c r="J89" s="3">
        <v>43745</v>
      </c>
      <c r="K89" t="b">
        <v>1</v>
      </c>
      <c r="L89" s="4">
        <v>5000</v>
      </c>
      <c r="M89" s="5">
        <v>1997.32</v>
      </c>
      <c r="N89" t="str">
        <f>IF(M89&gt;L89,"Alto",IF(M89&gt;L89*0.8,"Medio","Bajo"))</f>
        <v>Bajo</v>
      </c>
      <c r="O89" t="s">
        <v>33</v>
      </c>
    </row>
    <row r="90" spans="1:15" hidden="1">
      <c r="A90" t="s">
        <v>637</v>
      </c>
      <c r="B90" t="s">
        <v>418</v>
      </c>
      <c r="C90" t="s">
        <v>638</v>
      </c>
      <c r="D90" t="s">
        <v>639</v>
      </c>
      <c r="E90" s="2" t="s">
        <v>640</v>
      </c>
      <c r="F90" t="s">
        <v>101</v>
      </c>
      <c r="G90" t="s">
        <v>102</v>
      </c>
      <c r="H90" s="2" t="s">
        <v>641</v>
      </c>
      <c r="I90" t="s">
        <v>642</v>
      </c>
      <c r="J90" s="3">
        <v>42419</v>
      </c>
      <c r="K90" t="b">
        <v>1</v>
      </c>
      <c r="L90" s="4">
        <v>10000</v>
      </c>
      <c r="M90" s="5">
        <v>8826.34</v>
      </c>
      <c r="N90" t="str">
        <f>IF(M90&gt;L90,"Alto",IF(M90&gt;L90*0.8,"Medio","Bajo"))</f>
        <v>Medio</v>
      </c>
      <c r="O90" t="s">
        <v>33</v>
      </c>
    </row>
    <row r="91" spans="1:15">
      <c r="A91" t="s">
        <v>643</v>
      </c>
      <c r="B91" t="s">
        <v>644</v>
      </c>
      <c r="C91" t="s">
        <v>645</v>
      </c>
      <c r="D91" t="s">
        <v>646</v>
      </c>
      <c r="E91" s="2" t="s">
        <v>647</v>
      </c>
      <c r="F91" t="s">
        <v>30</v>
      </c>
      <c r="G91" t="s">
        <v>30</v>
      </c>
      <c r="H91" s="2" t="s">
        <v>648</v>
      </c>
      <c r="I91" t="s">
        <v>649</v>
      </c>
      <c r="J91" s="3">
        <v>44443</v>
      </c>
      <c r="K91" t="b">
        <v>0</v>
      </c>
      <c r="L91" s="4">
        <v>20000</v>
      </c>
      <c r="M91" s="5">
        <v>7172.48</v>
      </c>
      <c r="N91" t="str">
        <f>IF(M91&gt;L91,"Alto",IF(M91&gt;L91*0.8,"Medio","Bajo"))</f>
        <v>Bajo</v>
      </c>
      <c r="O91" t="s">
        <v>33</v>
      </c>
    </row>
    <row r="92" spans="1:15" hidden="1">
      <c r="A92" t="s">
        <v>650</v>
      </c>
      <c r="B92" t="s">
        <v>651</v>
      </c>
      <c r="C92" t="s">
        <v>652</v>
      </c>
      <c r="D92" t="s">
        <v>518</v>
      </c>
      <c r="E92" s="2" t="s">
        <v>653</v>
      </c>
      <c r="F92" t="s">
        <v>86</v>
      </c>
      <c r="G92" t="s">
        <v>86</v>
      </c>
      <c r="H92" s="2" t="s">
        <v>654</v>
      </c>
      <c r="I92" t="s">
        <v>655</v>
      </c>
      <c r="J92" s="3">
        <v>44333</v>
      </c>
      <c r="K92" t="b">
        <v>1</v>
      </c>
      <c r="L92" s="4">
        <v>20000</v>
      </c>
      <c r="M92" s="5">
        <v>7952.98</v>
      </c>
      <c r="N92" t="str">
        <f>IF(M92&gt;L92,"Alto",IF(M92&gt;L92*0.8,"Medio","Bajo"))</f>
        <v>Bajo</v>
      </c>
      <c r="O92" t="s">
        <v>33</v>
      </c>
    </row>
    <row r="93" spans="1:15" hidden="1">
      <c r="A93" t="s">
        <v>656</v>
      </c>
      <c r="B93" t="s">
        <v>68</v>
      </c>
      <c r="C93" t="s">
        <v>657</v>
      </c>
      <c r="D93" t="s">
        <v>658</v>
      </c>
      <c r="E93" s="2" t="s">
        <v>659</v>
      </c>
      <c r="F93" t="s">
        <v>297</v>
      </c>
      <c r="G93" t="s">
        <v>297</v>
      </c>
      <c r="H93" s="2" t="s">
        <v>660</v>
      </c>
      <c r="I93" t="s">
        <v>661</v>
      </c>
      <c r="J93" s="3">
        <v>45102</v>
      </c>
      <c r="K93" t="b">
        <v>0</v>
      </c>
      <c r="L93" s="4">
        <v>5000</v>
      </c>
      <c r="M93" s="5">
        <v>4222.26</v>
      </c>
      <c r="N93" t="str">
        <f>IF(M93&gt;L93,"Alto",IF(M93&gt;L93*0.8,"Medio","Bajo"))</f>
        <v>Medio</v>
      </c>
      <c r="O93" t="s">
        <v>33</v>
      </c>
    </row>
    <row r="94" spans="1:15" hidden="1">
      <c r="A94" t="s">
        <v>662</v>
      </c>
      <c r="B94" t="s">
        <v>663</v>
      </c>
      <c r="C94" t="s">
        <v>664</v>
      </c>
      <c r="D94" t="s">
        <v>665</v>
      </c>
      <c r="E94" s="2" t="s">
        <v>666</v>
      </c>
      <c r="F94" t="s">
        <v>101</v>
      </c>
      <c r="G94" t="s">
        <v>102</v>
      </c>
      <c r="H94" s="2" t="s">
        <v>667</v>
      </c>
      <c r="I94" t="s">
        <v>668</v>
      </c>
      <c r="J94" s="3">
        <v>43611</v>
      </c>
      <c r="K94" t="b">
        <v>0</v>
      </c>
      <c r="L94" s="4">
        <v>20000</v>
      </c>
      <c r="M94" s="5">
        <v>6013.08</v>
      </c>
      <c r="N94" t="str">
        <f>IF(M94&gt;L94,"Alto",IF(M94&gt;L94*0.8,"Medio","Bajo"))</f>
        <v>Bajo</v>
      </c>
      <c r="O94" t="s">
        <v>33</v>
      </c>
    </row>
    <row r="95" spans="1:15" hidden="1">
      <c r="A95" t="s">
        <v>669</v>
      </c>
      <c r="B95" t="s">
        <v>670</v>
      </c>
      <c r="C95" t="s">
        <v>671</v>
      </c>
      <c r="D95" t="s">
        <v>672</v>
      </c>
      <c r="E95" s="2" t="s">
        <v>673</v>
      </c>
      <c r="F95" t="s">
        <v>211</v>
      </c>
      <c r="G95" t="s">
        <v>212</v>
      </c>
      <c r="H95" s="2" t="s">
        <v>674</v>
      </c>
      <c r="I95" t="s">
        <v>675</v>
      </c>
      <c r="J95" s="3">
        <v>44302</v>
      </c>
      <c r="K95" t="b">
        <v>1</v>
      </c>
      <c r="L95" s="4">
        <v>5000</v>
      </c>
      <c r="M95" s="5">
        <v>4697.39</v>
      </c>
      <c r="N95" t="str">
        <f>IF(M95&gt;L95,"Alto",IF(M95&gt;L95*0.8,"Medio","Bajo"))</f>
        <v>Medio</v>
      </c>
      <c r="O95" t="s">
        <v>33</v>
      </c>
    </row>
    <row r="96" spans="1:15" hidden="1">
      <c r="A96" t="s">
        <v>676</v>
      </c>
      <c r="B96" t="s">
        <v>677</v>
      </c>
      <c r="C96" t="s">
        <v>678</v>
      </c>
      <c r="D96" t="s">
        <v>366</v>
      </c>
      <c r="E96" s="2" t="s">
        <v>679</v>
      </c>
      <c r="F96" t="s">
        <v>63</v>
      </c>
      <c r="G96" t="s">
        <v>64</v>
      </c>
      <c r="H96" s="2" t="s">
        <v>680</v>
      </c>
      <c r="I96" t="s">
        <v>681</v>
      </c>
      <c r="J96" s="3">
        <v>43513</v>
      </c>
      <c r="K96" t="b">
        <v>1</v>
      </c>
      <c r="L96" s="4">
        <v>20000</v>
      </c>
      <c r="M96" s="5">
        <v>9343.07</v>
      </c>
      <c r="N96" t="str">
        <f>IF(M96&gt;L96,"Alto",IF(M96&gt;L96*0.8,"Medio","Bajo"))</f>
        <v>Bajo</v>
      </c>
      <c r="O96" t="s">
        <v>33</v>
      </c>
    </row>
    <row r="97" spans="1:15" hidden="1">
      <c r="A97" t="s">
        <v>682</v>
      </c>
      <c r="B97" t="s">
        <v>605</v>
      </c>
      <c r="C97" t="s">
        <v>683</v>
      </c>
      <c r="D97" t="s">
        <v>684</v>
      </c>
      <c r="E97" s="2" t="s">
        <v>685</v>
      </c>
      <c r="F97" t="s">
        <v>227</v>
      </c>
      <c r="G97" t="s">
        <v>227</v>
      </c>
      <c r="H97" s="2" t="s">
        <v>686</v>
      </c>
      <c r="I97" t="s">
        <v>687</v>
      </c>
      <c r="J97" s="3">
        <v>44674</v>
      </c>
      <c r="K97" t="b">
        <v>1</v>
      </c>
      <c r="L97" s="4">
        <v>3000</v>
      </c>
      <c r="M97" s="5">
        <v>1713.15</v>
      </c>
      <c r="N97" t="str">
        <f>IF(M97&gt;L97,"Alto",IF(M97&gt;L97*0.8,"Medio","Bajo"))</f>
        <v>Bajo</v>
      </c>
      <c r="O97" t="s">
        <v>33</v>
      </c>
    </row>
    <row r="98" spans="1:15" hidden="1">
      <c r="A98" t="s">
        <v>688</v>
      </c>
      <c r="B98" t="s">
        <v>689</v>
      </c>
      <c r="C98" t="s">
        <v>690</v>
      </c>
      <c r="D98" t="s">
        <v>691</v>
      </c>
      <c r="E98" s="2" t="s">
        <v>692</v>
      </c>
      <c r="F98" t="s">
        <v>196</v>
      </c>
      <c r="G98" t="s">
        <v>196</v>
      </c>
      <c r="H98" s="2" t="s">
        <v>693</v>
      </c>
      <c r="I98" t="s">
        <v>694</v>
      </c>
      <c r="J98" s="3">
        <v>43562</v>
      </c>
      <c r="K98" t="b">
        <v>1</v>
      </c>
      <c r="L98" s="4">
        <v>3000</v>
      </c>
      <c r="M98" s="5">
        <v>2500.63</v>
      </c>
      <c r="N98" t="str">
        <f>IF(M98&gt;L98,"Alto",IF(M98&gt;L98*0.8,"Medio","Bajo"))</f>
        <v>Medio</v>
      </c>
      <c r="O98" t="s">
        <v>33</v>
      </c>
    </row>
    <row r="99" spans="1:15" hidden="1">
      <c r="A99" t="s">
        <v>695</v>
      </c>
      <c r="B99" t="s">
        <v>523</v>
      </c>
      <c r="C99" t="s">
        <v>696</v>
      </c>
      <c r="D99" t="s">
        <v>697</v>
      </c>
      <c r="E99" s="2" t="s">
        <v>698</v>
      </c>
      <c r="F99" t="s">
        <v>101</v>
      </c>
      <c r="G99" t="s">
        <v>102</v>
      </c>
      <c r="H99" s="2" t="s">
        <v>699</v>
      </c>
      <c r="I99" t="s">
        <v>700</v>
      </c>
      <c r="J99" s="3">
        <v>44850</v>
      </c>
      <c r="K99" t="b">
        <v>0</v>
      </c>
      <c r="L99" s="4">
        <v>20000</v>
      </c>
      <c r="M99" s="5">
        <v>13512.25</v>
      </c>
      <c r="N99" t="str">
        <f>IF(M99&gt;L99,"Alto",IF(M99&gt;L99*0.8,"Medio","Bajo"))</f>
        <v>Bajo</v>
      </c>
      <c r="O99" t="s">
        <v>33</v>
      </c>
    </row>
    <row r="100" spans="1:15" hidden="1">
      <c r="A100" t="s">
        <v>701</v>
      </c>
      <c r="B100" t="s">
        <v>702</v>
      </c>
      <c r="C100" t="s">
        <v>703</v>
      </c>
      <c r="D100" t="s">
        <v>704</v>
      </c>
      <c r="E100" s="2" t="s">
        <v>705</v>
      </c>
      <c r="F100" t="s">
        <v>227</v>
      </c>
      <c r="G100" t="s">
        <v>227</v>
      </c>
      <c r="H100" s="2" t="s">
        <v>706</v>
      </c>
      <c r="I100" t="s">
        <v>707</v>
      </c>
      <c r="J100" s="3">
        <v>43933</v>
      </c>
      <c r="K100" t="b">
        <v>1</v>
      </c>
      <c r="L100" s="4">
        <v>20000</v>
      </c>
      <c r="M100" s="5">
        <v>11956.34</v>
      </c>
      <c r="N100" t="str">
        <f>IF(M100&gt;L100,"Alto",IF(M100&gt;L100*0.8,"Medio","Bajo"))</f>
        <v>Bajo</v>
      </c>
      <c r="O100" t="s">
        <v>33</v>
      </c>
    </row>
    <row r="101" spans="1:15" hidden="1">
      <c r="A101" t="s">
        <v>708</v>
      </c>
      <c r="B101" t="s">
        <v>709</v>
      </c>
      <c r="C101" t="s">
        <v>710</v>
      </c>
      <c r="D101" t="s">
        <v>711</v>
      </c>
      <c r="E101" s="2" t="s">
        <v>712</v>
      </c>
      <c r="F101" t="s">
        <v>110</v>
      </c>
      <c r="G101" t="s">
        <v>110</v>
      </c>
      <c r="H101" s="2" t="s">
        <v>713</v>
      </c>
      <c r="I101" t="s">
        <v>714</v>
      </c>
      <c r="J101" s="3">
        <v>45594</v>
      </c>
      <c r="K101" t="b">
        <v>1</v>
      </c>
      <c r="L101" s="4">
        <v>5000</v>
      </c>
      <c r="M101" s="5">
        <v>2736.51</v>
      </c>
      <c r="N101" t="str">
        <f>IF(M101&gt;L101,"Alto",IF(M101&gt;L101*0.8,"Medio","Bajo"))</f>
        <v>Bajo</v>
      </c>
      <c r="O101" t="s">
        <v>33</v>
      </c>
    </row>
    <row r="102" spans="1:15">
      <c r="A102" t="s">
        <v>715</v>
      </c>
      <c r="B102" t="s">
        <v>716</v>
      </c>
      <c r="C102" t="s">
        <v>717</v>
      </c>
      <c r="D102" t="s">
        <v>718</v>
      </c>
      <c r="E102" s="2" t="s">
        <v>719</v>
      </c>
      <c r="F102" t="s">
        <v>40</v>
      </c>
      <c r="G102" t="s">
        <v>40</v>
      </c>
      <c r="H102" s="2" t="s">
        <v>720</v>
      </c>
      <c r="I102" t="s">
        <v>721</v>
      </c>
      <c r="J102" s="3">
        <v>45464</v>
      </c>
      <c r="K102" t="b">
        <v>1</v>
      </c>
      <c r="L102" s="4">
        <v>3000</v>
      </c>
      <c r="M102" s="5">
        <v>561.52</v>
      </c>
      <c r="N102" t="str">
        <f>IF(M102&gt;L102,"Alto",IF(M102&gt;L102*0.8,"Medio","Bajo"))</f>
        <v>Bajo</v>
      </c>
      <c r="O102" t="s">
        <v>33</v>
      </c>
    </row>
    <row r="103" spans="1:15">
      <c r="A103" t="s">
        <v>722</v>
      </c>
      <c r="B103" t="s">
        <v>723</v>
      </c>
      <c r="C103" t="s">
        <v>724</v>
      </c>
      <c r="D103" t="s">
        <v>725</v>
      </c>
      <c r="E103" s="2" t="s">
        <v>726</v>
      </c>
      <c r="F103" t="s">
        <v>162</v>
      </c>
      <c r="G103" t="s">
        <v>30</v>
      </c>
      <c r="H103" s="2" t="s">
        <v>727</v>
      </c>
      <c r="I103" t="s">
        <v>728</v>
      </c>
      <c r="J103" s="3">
        <v>42371</v>
      </c>
      <c r="K103" t="b">
        <v>1</v>
      </c>
      <c r="L103" s="4">
        <v>20000</v>
      </c>
      <c r="M103" s="5">
        <v>3541.24</v>
      </c>
      <c r="N103" t="str">
        <f>IF(M103&gt;L103,"Alto",IF(M103&gt;L103*0.8,"Medio","Bajo"))</f>
        <v>Bajo</v>
      </c>
      <c r="O103" t="s">
        <v>33</v>
      </c>
    </row>
    <row r="104" spans="1:15" hidden="1">
      <c r="A104" t="s">
        <v>729</v>
      </c>
      <c r="B104" t="s">
        <v>730</v>
      </c>
      <c r="C104" t="s">
        <v>731</v>
      </c>
      <c r="D104" t="s">
        <v>420</v>
      </c>
      <c r="E104" s="2" t="s">
        <v>732</v>
      </c>
      <c r="F104" t="s">
        <v>20</v>
      </c>
      <c r="G104" t="s">
        <v>21</v>
      </c>
      <c r="H104" s="2" t="s">
        <v>733</v>
      </c>
      <c r="I104" t="s">
        <v>734</v>
      </c>
      <c r="J104" s="3">
        <v>42473</v>
      </c>
      <c r="K104" t="b">
        <v>1</v>
      </c>
      <c r="L104" s="4">
        <v>3000</v>
      </c>
      <c r="M104" s="5">
        <v>2308.2</v>
      </c>
      <c r="N104" t="str">
        <f>IF(M104&gt;L104,"Alto",IF(M104&gt;L104*0.8,"Medio","Bajo"))</f>
        <v>Bajo</v>
      </c>
      <c r="O104" t="s">
        <v>33</v>
      </c>
    </row>
    <row r="105" spans="1:15" hidden="1">
      <c r="A105" t="s">
        <v>735</v>
      </c>
      <c r="B105" t="s">
        <v>736</v>
      </c>
      <c r="C105" t="s">
        <v>737</v>
      </c>
      <c r="D105" t="s">
        <v>738</v>
      </c>
      <c r="E105" s="2" t="s">
        <v>739</v>
      </c>
      <c r="F105" t="s">
        <v>227</v>
      </c>
      <c r="G105" t="s">
        <v>227</v>
      </c>
      <c r="H105" s="2" t="s">
        <v>740</v>
      </c>
      <c r="I105" t="s">
        <v>741</v>
      </c>
      <c r="J105" s="3">
        <v>44592</v>
      </c>
      <c r="K105" t="b">
        <v>1</v>
      </c>
      <c r="L105" s="4">
        <v>20000</v>
      </c>
      <c r="M105" s="5">
        <v>20163.52</v>
      </c>
      <c r="N105" t="str">
        <f>IF(M105&gt;L105,"Alto",IF(M105&gt;L105*0.8,"Medio","Bajo"))</f>
        <v>Alto</v>
      </c>
      <c r="O105" t="s">
        <v>24</v>
      </c>
    </row>
    <row r="106" spans="1:15">
      <c r="A106" t="s">
        <v>742</v>
      </c>
      <c r="B106" t="s">
        <v>357</v>
      </c>
      <c r="C106" t="s">
        <v>743</v>
      </c>
      <c r="D106" t="s">
        <v>744</v>
      </c>
      <c r="E106" s="2" t="s">
        <v>745</v>
      </c>
      <c r="F106" t="s">
        <v>162</v>
      </c>
      <c r="G106" t="s">
        <v>30</v>
      </c>
      <c r="H106" s="2" t="s">
        <v>746</v>
      </c>
      <c r="I106" t="s">
        <v>747</v>
      </c>
      <c r="J106" s="3">
        <v>43569</v>
      </c>
      <c r="K106" t="b">
        <v>1</v>
      </c>
      <c r="L106" s="4">
        <v>10000</v>
      </c>
      <c r="M106" s="5">
        <v>10936.95</v>
      </c>
      <c r="N106" t="str">
        <f>IF(M106&gt;L106,"Alto",IF(M106&gt;L106*0.8,"Medio","Bajo"))</f>
        <v>Alto</v>
      </c>
      <c r="O106" t="s">
        <v>24</v>
      </c>
    </row>
    <row r="107" spans="1:15" hidden="1">
      <c r="A107" t="s">
        <v>748</v>
      </c>
      <c r="B107" t="s">
        <v>749</v>
      </c>
      <c r="C107" t="s">
        <v>750</v>
      </c>
      <c r="D107" t="s">
        <v>751</v>
      </c>
      <c r="E107" s="2" t="s">
        <v>752</v>
      </c>
      <c r="F107" t="s">
        <v>63</v>
      </c>
      <c r="G107" t="s">
        <v>64</v>
      </c>
      <c r="H107" s="2" t="s">
        <v>753</v>
      </c>
      <c r="I107" t="s">
        <v>754</v>
      </c>
      <c r="J107" s="3">
        <v>45511</v>
      </c>
      <c r="K107" t="b">
        <v>1</v>
      </c>
      <c r="L107" s="4">
        <v>20000</v>
      </c>
      <c r="M107" s="5">
        <v>13311.36</v>
      </c>
      <c r="N107" t="str">
        <f>IF(M107&gt;L107,"Alto",IF(M107&gt;L107*0.8,"Medio","Bajo"))</f>
        <v>Bajo</v>
      </c>
      <c r="O107" t="s">
        <v>33</v>
      </c>
    </row>
    <row r="108" spans="1:15" hidden="1">
      <c r="A108" t="s">
        <v>755</v>
      </c>
      <c r="B108" t="s">
        <v>756</v>
      </c>
      <c r="C108" t="s">
        <v>757</v>
      </c>
      <c r="D108" t="s">
        <v>758</v>
      </c>
      <c r="E108" s="2" t="s">
        <v>759</v>
      </c>
      <c r="F108" t="s">
        <v>110</v>
      </c>
      <c r="G108" t="s">
        <v>110</v>
      </c>
      <c r="H108" s="2" t="s">
        <v>760</v>
      </c>
      <c r="I108" t="s">
        <v>761</v>
      </c>
      <c r="J108" s="3">
        <v>44503</v>
      </c>
      <c r="K108" t="b">
        <v>1</v>
      </c>
      <c r="L108" s="4">
        <v>3000</v>
      </c>
      <c r="M108" s="5">
        <v>684.97</v>
      </c>
      <c r="N108" t="str">
        <f>IF(M108&gt;L108,"Alto",IF(M108&gt;L108*0.8,"Medio","Bajo"))</f>
        <v>Bajo</v>
      </c>
      <c r="O108" t="s">
        <v>33</v>
      </c>
    </row>
    <row r="109" spans="1:15">
      <c r="A109" t="s">
        <v>762</v>
      </c>
      <c r="B109" t="s">
        <v>763</v>
      </c>
      <c r="C109" t="s">
        <v>764</v>
      </c>
      <c r="D109" t="s">
        <v>765</v>
      </c>
      <c r="E109" s="2" t="s">
        <v>766</v>
      </c>
      <c r="F109" t="s">
        <v>162</v>
      </c>
      <c r="G109" t="s">
        <v>30</v>
      </c>
      <c r="H109" s="2" t="s">
        <v>767</v>
      </c>
      <c r="I109" t="s">
        <v>768</v>
      </c>
      <c r="J109" s="3">
        <v>44862</v>
      </c>
      <c r="K109" t="b">
        <v>1</v>
      </c>
      <c r="L109" s="4">
        <v>3000</v>
      </c>
      <c r="M109" s="5">
        <v>3245.87</v>
      </c>
      <c r="N109" t="str">
        <f>IF(M109&gt;L109,"Alto",IF(M109&gt;L109*0.8,"Medio","Bajo"))</f>
        <v>Alto</v>
      </c>
      <c r="O109" t="s">
        <v>24</v>
      </c>
    </row>
    <row r="110" spans="1:15" hidden="1">
      <c r="A110" t="s">
        <v>769</v>
      </c>
      <c r="B110" t="s">
        <v>770</v>
      </c>
      <c r="C110" t="s">
        <v>771</v>
      </c>
      <c r="D110" t="s">
        <v>772</v>
      </c>
      <c r="E110" s="2" t="s">
        <v>773</v>
      </c>
      <c r="F110" t="s">
        <v>48</v>
      </c>
      <c r="G110" t="s">
        <v>48</v>
      </c>
      <c r="H110" s="2" t="s">
        <v>774</v>
      </c>
      <c r="I110" t="s">
        <v>775</v>
      </c>
      <c r="J110" s="3">
        <v>44469</v>
      </c>
      <c r="K110" t="b">
        <v>0</v>
      </c>
      <c r="L110" s="4">
        <v>10000</v>
      </c>
      <c r="M110" s="5">
        <v>498.26</v>
      </c>
      <c r="N110" t="str">
        <f>IF(M110&gt;L110,"Alto",IF(M110&gt;L110*0.8,"Medio","Bajo"))</f>
        <v>Bajo</v>
      </c>
      <c r="O110" t="s">
        <v>33</v>
      </c>
    </row>
    <row r="111" spans="1:15">
      <c r="A111" t="s">
        <v>776</v>
      </c>
      <c r="B111" t="s">
        <v>777</v>
      </c>
      <c r="C111" t="s">
        <v>778</v>
      </c>
      <c r="D111" t="s">
        <v>779</v>
      </c>
      <c r="E111" s="2" t="s">
        <v>780</v>
      </c>
      <c r="F111" t="s">
        <v>39</v>
      </c>
      <c r="G111" t="s">
        <v>40</v>
      </c>
      <c r="H111" s="2" t="s">
        <v>781</v>
      </c>
      <c r="I111" t="s">
        <v>782</v>
      </c>
      <c r="J111" s="3">
        <v>42928</v>
      </c>
      <c r="K111" t="b">
        <v>0</v>
      </c>
      <c r="L111" s="4">
        <v>10000</v>
      </c>
      <c r="M111" s="5">
        <v>881.1799999999999</v>
      </c>
      <c r="N111" t="str">
        <f>IF(M111&gt;L111,"Alto",IF(M111&gt;L111*0.8,"Medio","Bajo"))</f>
        <v>Bajo</v>
      </c>
      <c r="O111" t="s">
        <v>33</v>
      </c>
    </row>
    <row r="112" spans="1:15" hidden="1">
      <c r="A112" t="s">
        <v>783</v>
      </c>
      <c r="B112" t="s">
        <v>784</v>
      </c>
      <c r="C112" t="s">
        <v>785</v>
      </c>
      <c r="D112" t="s">
        <v>786</v>
      </c>
      <c r="E112" s="2" t="s">
        <v>787</v>
      </c>
      <c r="F112" t="s">
        <v>110</v>
      </c>
      <c r="G112" t="s">
        <v>110</v>
      </c>
      <c r="H112" s="2" t="s">
        <v>788</v>
      </c>
      <c r="I112" t="s">
        <v>789</v>
      </c>
      <c r="J112" s="3">
        <v>43474</v>
      </c>
      <c r="K112" t="b">
        <v>0</v>
      </c>
      <c r="L112" s="4">
        <v>5000</v>
      </c>
      <c r="M112" s="5">
        <v>5406.63</v>
      </c>
      <c r="N112" t="str">
        <f>IF(M112&gt;L112,"Alto",IF(M112&gt;L112*0.8,"Medio","Bajo"))</f>
        <v>Alto</v>
      </c>
      <c r="O112" t="s">
        <v>24</v>
      </c>
    </row>
    <row r="113" spans="1:15" hidden="1">
      <c r="A113" t="s">
        <v>790</v>
      </c>
      <c r="B113" t="s">
        <v>791</v>
      </c>
      <c r="C113" t="s">
        <v>792</v>
      </c>
      <c r="D113" t="s">
        <v>793</v>
      </c>
      <c r="E113" s="2" t="s">
        <v>794</v>
      </c>
      <c r="F113" t="s">
        <v>297</v>
      </c>
      <c r="G113" t="s">
        <v>297</v>
      </c>
      <c r="H113" s="2" t="s">
        <v>795</v>
      </c>
      <c r="I113" t="s">
        <v>796</v>
      </c>
      <c r="J113" s="3">
        <v>44106</v>
      </c>
      <c r="K113" t="b">
        <v>1</v>
      </c>
      <c r="L113" s="4">
        <v>20000</v>
      </c>
      <c r="M113" s="5">
        <v>1404.19</v>
      </c>
      <c r="N113" t="str">
        <f>IF(M113&gt;L113,"Alto",IF(M113&gt;L113*0.8,"Medio","Bajo"))</f>
        <v>Bajo</v>
      </c>
      <c r="O113" t="s">
        <v>33</v>
      </c>
    </row>
    <row r="114" spans="1:15">
      <c r="A114" t="s">
        <v>797</v>
      </c>
      <c r="B114" t="s">
        <v>798</v>
      </c>
      <c r="C114" t="s">
        <v>799</v>
      </c>
      <c r="D114" t="s">
        <v>800</v>
      </c>
      <c r="E114" s="2" t="s">
        <v>801</v>
      </c>
      <c r="F114" t="s">
        <v>40</v>
      </c>
      <c r="G114" t="s">
        <v>40</v>
      </c>
      <c r="H114" s="2" t="s">
        <v>802</v>
      </c>
      <c r="I114" t="s">
        <v>803</v>
      </c>
      <c r="J114" s="3">
        <v>45126</v>
      </c>
      <c r="K114" t="b">
        <v>0</v>
      </c>
      <c r="L114" s="4">
        <v>20000</v>
      </c>
      <c r="M114" s="5">
        <v>2451.96</v>
      </c>
      <c r="N114" t="str">
        <f>IF(M114&gt;L114,"Alto",IF(M114&gt;L114*0.8,"Medio","Bajo"))</f>
        <v>Bajo</v>
      </c>
      <c r="O114" t="s">
        <v>33</v>
      </c>
    </row>
    <row r="115" spans="1:15">
      <c r="A115" t="s">
        <v>804</v>
      </c>
      <c r="B115" t="s">
        <v>805</v>
      </c>
      <c r="C115" t="s">
        <v>806</v>
      </c>
      <c r="D115" t="s">
        <v>807</v>
      </c>
      <c r="E115" s="2" t="s">
        <v>808</v>
      </c>
      <c r="F115" t="s">
        <v>39</v>
      </c>
      <c r="G115" t="s">
        <v>40</v>
      </c>
      <c r="H115" s="2" t="s">
        <v>809</v>
      </c>
      <c r="I115" t="s">
        <v>810</v>
      </c>
      <c r="J115" s="3">
        <v>45229</v>
      </c>
      <c r="K115" t="b">
        <v>1</v>
      </c>
      <c r="L115" s="4">
        <v>10000</v>
      </c>
      <c r="M115" s="5">
        <v>10884.82</v>
      </c>
      <c r="N115" t="str">
        <f>IF(M115&gt;L115,"Alto",IF(M115&gt;L115*0.8,"Medio","Bajo"))</f>
        <v>Alto</v>
      </c>
      <c r="O115" t="s">
        <v>24</v>
      </c>
    </row>
    <row r="116" spans="1:15" hidden="1">
      <c r="A116" t="s">
        <v>811</v>
      </c>
      <c r="B116" t="s">
        <v>812</v>
      </c>
      <c r="C116" t="s">
        <v>813</v>
      </c>
      <c r="D116" t="s">
        <v>814</v>
      </c>
      <c r="E116" s="2" t="s">
        <v>815</v>
      </c>
      <c r="F116" t="s">
        <v>48</v>
      </c>
      <c r="G116" t="s">
        <v>48</v>
      </c>
      <c r="H116" s="2" t="s">
        <v>816</v>
      </c>
      <c r="I116" t="s">
        <v>817</v>
      </c>
      <c r="J116" s="3">
        <v>43578</v>
      </c>
      <c r="K116" t="b">
        <v>1</v>
      </c>
      <c r="L116" s="4">
        <v>5000</v>
      </c>
      <c r="M116" s="5">
        <v>2444.65</v>
      </c>
      <c r="N116" t="str">
        <f>IF(M116&gt;L116,"Alto",IF(M116&gt;L116*0.8,"Medio","Bajo"))</f>
        <v>Bajo</v>
      </c>
      <c r="O116" t="s">
        <v>33</v>
      </c>
    </row>
    <row r="117" spans="1:15" hidden="1">
      <c r="A117" t="s">
        <v>818</v>
      </c>
      <c r="B117" t="s">
        <v>819</v>
      </c>
      <c r="C117" t="s">
        <v>820</v>
      </c>
      <c r="D117" t="s">
        <v>821</v>
      </c>
      <c r="E117" s="2" t="s">
        <v>822</v>
      </c>
      <c r="F117" t="s">
        <v>196</v>
      </c>
      <c r="G117" t="s">
        <v>196</v>
      </c>
      <c r="H117" s="2" t="s">
        <v>823</v>
      </c>
      <c r="I117" t="s">
        <v>824</v>
      </c>
      <c r="J117" s="3">
        <v>44597</v>
      </c>
      <c r="K117" t="b">
        <v>1</v>
      </c>
      <c r="L117" s="4">
        <v>20000</v>
      </c>
      <c r="M117" s="5">
        <v>15440.66</v>
      </c>
      <c r="N117" t="str">
        <f>IF(M117&gt;L117,"Alto",IF(M117&gt;L117*0.8,"Medio","Bajo"))</f>
        <v>Bajo</v>
      </c>
      <c r="O117" t="s">
        <v>33</v>
      </c>
    </row>
    <row r="118" spans="1:15" hidden="1">
      <c r="A118" t="s">
        <v>825</v>
      </c>
      <c r="B118" t="s">
        <v>826</v>
      </c>
      <c r="C118" t="s">
        <v>827</v>
      </c>
      <c r="D118" t="s">
        <v>658</v>
      </c>
      <c r="E118" s="2" t="s">
        <v>828</v>
      </c>
      <c r="F118" t="s">
        <v>211</v>
      </c>
      <c r="G118" t="s">
        <v>212</v>
      </c>
      <c r="H118" s="2" t="s">
        <v>829</v>
      </c>
      <c r="I118" t="s">
        <v>830</v>
      </c>
      <c r="J118" s="3">
        <v>45786</v>
      </c>
      <c r="K118" t="b">
        <v>1</v>
      </c>
      <c r="L118" s="4">
        <v>5000</v>
      </c>
      <c r="M118" s="5">
        <v>4167.04</v>
      </c>
      <c r="N118" t="str">
        <f>IF(M118&gt;L118,"Alto",IF(M118&gt;L118*0.8,"Medio","Bajo"))</f>
        <v>Medio</v>
      </c>
      <c r="O118" t="s">
        <v>33</v>
      </c>
    </row>
    <row r="119" spans="1:15" hidden="1">
      <c r="A119" t="s">
        <v>831</v>
      </c>
      <c r="B119" t="s">
        <v>832</v>
      </c>
      <c r="C119" t="s">
        <v>833</v>
      </c>
      <c r="D119" t="s">
        <v>834</v>
      </c>
      <c r="E119" s="2" t="s">
        <v>835</v>
      </c>
      <c r="F119" t="s">
        <v>139</v>
      </c>
      <c r="G119" t="s">
        <v>139</v>
      </c>
      <c r="H119" s="2" t="s">
        <v>836</v>
      </c>
      <c r="I119" t="s">
        <v>837</v>
      </c>
      <c r="J119" s="3">
        <v>45212</v>
      </c>
      <c r="K119" t="b">
        <v>1</v>
      </c>
      <c r="L119" s="4">
        <v>10000</v>
      </c>
      <c r="M119" s="5">
        <v>2066.93</v>
      </c>
      <c r="N119" t="str">
        <f>IF(M119&gt;L119,"Alto",IF(M119&gt;L119*0.8,"Medio","Bajo"))</f>
        <v>Bajo</v>
      </c>
      <c r="O119" t="s">
        <v>33</v>
      </c>
    </row>
    <row r="120" spans="1:15" hidden="1">
      <c r="A120" t="s">
        <v>838</v>
      </c>
      <c r="B120" t="s">
        <v>839</v>
      </c>
      <c r="C120" t="s">
        <v>840</v>
      </c>
      <c r="D120" t="s">
        <v>841</v>
      </c>
      <c r="E120" s="2" t="s">
        <v>842</v>
      </c>
      <c r="F120" t="s">
        <v>86</v>
      </c>
      <c r="G120" t="s">
        <v>86</v>
      </c>
      <c r="H120" s="2" t="s">
        <v>843</v>
      </c>
      <c r="I120" t="s">
        <v>844</v>
      </c>
      <c r="J120" s="3">
        <v>42981</v>
      </c>
      <c r="K120" t="b">
        <v>1</v>
      </c>
      <c r="L120" s="4">
        <v>3000</v>
      </c>
      <c r="M120" s="5">
        <v>2872.26</v>
      </c>
      <c r="N120" t="str">
        <f>IF(M120&gt;L120,"Alto",IF(M120&gt;L120*0.8,"Medio","Bajo"))</f>
        <v>Medio</v>
      </c>
      <c r="O120" t="s">
        <v>33</v>
      </c>
    </row>
    <row r="121" spans="1:15" hidden="1">
      <c r="A121" t="s">
        <v>845</v>
      </c>
      <c r="B121" t="s">
        <v>68</v>
      </c>
      <c r="C121" t="s">
        <v>846</v>
      </c>
      <c r="D121" t="s">
        <v>847</v>
      </c>
      <c r="E121" s="2" t="s">
        <v>848</v>
      </c>
      <c r="F121" t="s">
        <v>48</v>
      </c>
      <c r="G121" t="s">
        <v>48</v>
      </c>
      <c r="H121" s="2" t="s">
        <v>849</v>
      </c>
      <c r="I121" t="s">
        <v>850</v>
      </c>
      <c r="J121" s="3">
        <v>43427</v>
      </c>
      <c r="K121" t="b">
        <v>1</v>
      </c>
      <c r="L121" s="4">
        <v>5000</v>
      </c>
      <c r="M121" s="5">
        <v>1182.2</v>
      </c>
      <c r="N121" t="str">
        <f>IF(M121&gt;L121,"Alto",IF(M121&gt;L121*0.8,"Medio","Bajo"))</f>
        <v>Bajo</v>
      </c>
      <c r="O121" t="s">
        <v>33</v>
      </c>
    </row>
    <row r="122" spans="1:15" hidden="1">
      <c r="A122" t="s">
        <v>851</v>
      </c>
      <c r="B122" t="s">
        <v>852</v>
      </c>
      <c r="C122" t="s">
        <v>853</v>
      </c>
      <c r="D122" t="s">
        <v>854</v>
      </c>
      <c r="E122" s="2" t="s">
        <v>855</v>
      </c>
      <c r="F122" t="s">
        <v>227</v>
      </c>
      <c r="G122" t="s">
        <v>227</v>
      </c>
      <c r="H122" s="2" t="s">
        <v>856</v>
      </c>
      <c r="I122" t="s">
        <v>857</v>
      </c>
      <c r="J122" s="3">
        <v>44071</v>
      </c>
      <c r="K122" t="b">
        <v>0</v>
      </c>
      <c r="L122" s="4">
        <v>3000</v>
      </c>
      <c r="M122" s="5">
        <v>3577.55</v>
      </c>
      <c r="N122" t="str">
        <f>IF(M122&gt;L122,"Alto",IF(M122&gt;L122*0.8,"Medio","Bajo"))</f>
        <v>Alto</v>
      </c>
      <c r="O122" t="s">
        <v>24</v>
      </c>
    </row>
    <row r="123" spans="1:15" hidden="1">
      <c r="A123" t="s">
        <v>858</v>
      </c>
      <c r="B123" t="s">
        <v>859</v>
      </c>
      <c r="C123" t="s">
        <v>860</v>
      </c>
      <c r="D123" t="s">
        <v>861</v>
      </c>
      <c r="E123" s="2" t="s">
        <v>862</v>
      </c>
      <c r="F123" t="s">
        <v>110</v>
      </c>
      <c r="G123" t="s">
        <v>110</v>
      </c>
      <c r="H123" s="2" t="s">
        <v>863</v>
      </c>
      <c r="I123" t="s">
        <v>864</v>
      </c>
      <c r="J123" s="3">
        <v>45708</v>
      </c>
      <c r="K123" t="b">
        <v>1</v>
      </c>
      <c r="L123" s="4">
        <v>5000</v>
      </c>
      <c r="M123" s="5">
        <v>1512.11</v>
      </c>
      <c r="N123" t="str">
        <f>IF(M123&gt;L123,"Alto",IF(M123&gt;L123*0.8,"Medio","Bajo"))</f>
        <v>Bajo</v>
      </c>
      <c r="O123" t="s">
        <v>33</v>
      </c>
    </row>
    <row r="124" spans="1:15" hidden="1">
      <c r="A124" t="s">
        <v>865</v>
      </c>
      <c r="B124" t="s">
        <v>251</v>
      </c>
      <c r="C124" t="s">
        <v>866</v>
      </c>
      <c r="D124" t="s">
        <v>867</v>
      </c>
      <c r="E124" s="2" t="s">
        <v>868</v>
      </c>
      <c r="F124" t="s">
        <v>63</v>
      </c>
      <c r="G124" t="s">
        <v>64</v>
      </c>
      <c r="H124" s="2" t="s">
        <v>869</v>
      </c>
      <c r="I124" t="s">
        <v>870</v>
      </c>
      <c r="J124" s="3">
        <v>44642</v>
      </c>
      <c r="K124" t="b">
        <v>0</v>
      </c>
      <c r="L124" s="4">
        <v>20000</v>
      </c>
      <c r="M124" s="5">
        <v>23904.95</v>
      </c>
      <c r="N124" t="str">
        <f>IF(M124&gt;L124,"Alto",IF(M124&gt;L124*0.8,"Medio","Bajo"))</f>
        <v>Alto</v>
      </c>
      <c r="O124" t="s">
        <v>24</v>
      </c>
    </row>
    <row r="125" spans="1:15" hidden="1">
      <c r="A125" t="s">
        <v>871</v>
      </c>
      <c r="B125" t="s">
        <v>872</v>
      </c>
      <c r="C125" t="s">
        <v>873</v>
      </c>
      <c r="D125" t="s">
        <v>874</v>
      </c>
      <c r="E125" s="2" t="s">
        <v>875</v>
      </c>
      <c r="F125" t="s">
        <v>48</v>
      </c>
      <c r="G125" t="s">
        <v>48</v>
      </c>
      <c r="H125" s="2" t="s">
        <v>876</v>
      </c>
      <c r="I125" t="s">
        <v>877</v>
      </c>
      <c r="J125" s="3">
        <v>45148</v>
      </c>
      <c r="K125" t="b">
        <v>1</v>
      </c>
      <c r="L125" s="4">
        <v>3000</v>
      </c>
      <c r="M125" s="5">
        <v>2511.8</v>
      </c>
      <c r="N125" t="str">
        <f>IF(M125&gt;L125,"Alto",IF(M125&gt;L125*0.8,"Medio","Bajo"))</f>
        <v>Medio</v>
      </c>
      <c r="O125" t="s">
        <v>33</v>
      </c>
    </row>
    <row r="126" spans="1:15" hidden="1">
      <c r="A126" t="s">
        <v>878</v>
      </c>
      <c r="B126" t="s">
        <v>716</v>
      </c>
      <c r="C126" t="s">
        <v>879</v>
      </c>
      <c r="D126" t="s">
        <v>880</v>
      </c>
      <c r="E126" s="2" t="s">
        <v>881</v>
      </c>
      <c r="F126" t="s">
        <v>101</v>
      </c>
      <c r="G126" t="s">
        <v>102</v>
      </c>
      <c r="H126" s="2" t="s">
        <v>882</v>
      </c>
      <c r="I126" t="s">
        <v>883</v>
      </c>
      <c r="J126" s="3">
        <v>43799</v>
      </c>
      <c r="K126" t="b">
        <v>1</v>
      </c>
      <c r="L126" s="4">
        <v>20000</v>
      </c>
      <c r="M126" s="5">
        <v>14217.33</v>
      </c>
      <c r="N126" t="str">
        <f>IF(M126&gt;L126,"Alto",IF(M126&gt;L126*0.8,"Medio","Bajo"))</f>
        <v>Bajo</v>
      </c>
      <c r="O126" t="s">
        <v>33</v>
      </c>
    </row>
    <row r="127" spans="1:15" hidden="1">
      <c r="A127" t="s">
        <v>884</v>
      </c>
      <c r="B127" t="s">
        <v>885</v>
      </c>
      <c r="C127" t="s">
        <v>886</v>
      </c>
      <c r="D127" t="s">
        <v>672</v>
      </c>
      <c r="E127" s="2" t="s">
        <v>887</v>
      </c>
      <c r="F127" t="s">
        <v>196</v>
      </c>
      <c r="G127" t="s">
        <v>196</v>
      </c>
      <c r="H127" s="2" t="s">
        <v>888</v>
      </c>
      <c r="I127" t="s">
        <v>889</v>
      </c>
      <c r="J127" s="3">
        <v>43867</v>
      </c>
      <c r="K127" t="b">
        <v>0</v>
      </c>
      <c r="L127" s="4">
        <v>10000</v>
      </c>
      <c r="M127" s="5">
        <v>5991.76</v>
      </c>
      <c r="N127" t="str">
        <f>IF(M127&gt;L127,"Alto",IF(M127&gt;L127*0.8,"Medio","Bajo"))</f>
        <v>Bajo</v>
      </c>
      <c r="O127" t="s">
        <v>33</v>
      </c>
    </row>
    <row r="128" spans="1:15" hidden="1">
      <c r="A128" t="s">
        <v>890</v>
      </c>
      <c r="B128" t="s">
        <v>891</v>
      </c>
      <c r="C128" t="s">
        <v>892</v>
      </c>
      <c r="D128" t="s">
        <v>893</v>
      </c>
      <c r="E128" s="2" t="s">
        <v>894</v>
      </c>
      <c r="F128" t="s">
        <v>110</v>
      </c>
      <c r="G128" t="s">
        <v>110</v>
      </c>
      <c r="H128" s="2" t="s">
        <v>895</v>
      </c>
      <c r="I128" t="s">
        <v>896</v>
      </c>
      <c r="J128" s="3">
        <v>45536</v>
      </c>
      <c r="K128" t="b">
        <v>1</v>
      </c>
      <c r="L128" s="4">
        <v>3000</v>
      </c>
      <c r="M128" s="5">
        <v>1364.81</v>
      </c>
      <c r="N128" t="str">
        <f>IF(M128&gt;L128,"Alto",IF(M128&gt;L128*0.8,"Medio","Bajo"))</f>
        <v>Bajo</v>
      </c>
      <c r="O128" t="s">
        <v>33</v>
      </c>
    </row>
    <row r="129" spans="1:15" hidden="1">
      <c r="A129" t="s">
        <v>897</v>
      </c>
      <c r="B129" t="s">
        <v>898</v>
      </c>
      <c r="C129" t="s">
        <v>899</v>
      </c>
      <c r="D129" t="s">
        <v>900</v>
      </c>
      <c r="E129" s="2" t="s">
        <v>901</v>
      </c>
      <c r="F129" t="s">
        <v>101</v>
      </c>
      <c r="G129" t="s">
        <v>102</v>
      </c>
      <c r="H129" s="2" t="s">
        <v>902</v>
      </c>
      <c r="I129" t="s">
        <v>903</v>
      </c>
      <c r="J129" s="3">
        <v>42411</v>
      </c>
      <c r="K129" t="b">
        <v>1</v>
      </c>
      <c r="L129" s="4">
        <v>20000</v>
      </c>
      <c r="M129" s="5">
        <v>12812.14</v>
      </c>
      <c r="N129" t="str">
        <f>IF(M129&gt;L129,"Alto",IF(M129&gt;L129*0.8,"Medio","Bajo"))</f>
        <v>Bajo</v>
      </c>
      <c r="O129" t="s">
        <v>33</v>
      </c>
    </row>
    <row r="130" spans="1:15" hidden="1">
      <c r="A130" t="s">
        <v>904</v>
      </c>
      <c r="B130" t="s">
        <v>52</v>
      </c>
      <c r="C130" t="s">
        <v>905</v>
      </c>
      <c r="D130" t="s">
        <v>906</v>
      </c>
      <c r="E130" s="2" t="s">
        <v>907</v>
      </c>
      <c r="F130" t="s">
        <v>139</v>
      </c>
      <c r="G130" t="s">
        <v>139</v>
      </c>
      <c r="H130" s="2" t="s">
        <v>908</v>
      </c>
      <c r="I130" t="s">
        <v>909</v>
      </c>
      <c r="J130" s="3">
        <v>43807</v>
      </c>
      <c r="K130" t="b">
        <v>1</v>
      </c>
      <c r="L130" s="4">
        <v>5000</v>
      </c>
      <c r="M130" s="5">
        <v>4998.29</v>
      </c>
      <c r="N130" t="str">
        <f>IF(M130&gt;L130,"Alto",IF(M130&gt;L130*0.8,"Medio","Bajo"))</f>
        <v>Medio</v>
      </c>
      <c r="O130" t="s">
        <v>33</v>
      </c>
    </row>
    <row r="131" spans="1:15" hidden="1">
      <c r="A131" t="s">
        <v>910</v>
      </c>
      <c r="B131" t="s">
        <v>911</v>
      </c>
      <c r="C131" t="s">
        <v>912</v>
      </c>
      <c r="D131" t="s">
        <v>913</v>
      </c>
      <c r="E131" s="2" t="s">
        <v>914</v>
      </c>
      <c r="F131" t="s">
        <v>63</v>
      </c>
      <c r="G131" t="s">
        <v>64</v>
      </c>
      <c r="H131" s="2" t="s">
        <v>915</v>
      </c>
      <c r="I131" t="s">
        <v>916</v>
      </c>
      <c r="J131" s="3">
        <v>43405</v>
      </c>
      <c r="K131" t="b">
        <v>0</v>
      </c>
      <c r="L131" s="4">
        <v>3000</v>
      </c>
      <c r="M131" s="5">
        <v>785.35</v>
      </c>
      <c r="N131" t="str">
        <f>IF(M131&gt;L131,"Alto",IF(M131&gt;L131*0.8,"Medio","Bajo"))</f>
        <v>Bajo</v>
      </c>
      <c r="O131" t="s">
        <v>33</v>
      </c>
    </row>
    <row r="132" spans="1:15">
      <c r="A132" t="s">
        <v>917</v>
      </c>
      <c r="B132" t="s">
        <v>918</v>
      </c>
      <c r="C132" t="s">
        <v>919</v>
      </c>
      <c r="D132" t="s">
        <v>920</v>
      </c>
      <c r="E132" s="2" t="s">
        <v>921</v>
      </c>
      <c r="F132" t="s">
        <v>40</v>
      </c>
      <c r="G132" t="s">
        <v>40</v>
      </c>
      <c r="H132" s="2" t="s">
        <v>922</v>
      </c>
      <c r="I132" t="s">
        <v>923</v>
      </c>
      <c r="J132" s="3">
        <v>45369</v>
      </c>
      <c r="K132" t="b">
        <v>1</v>
      </c>
      <c r="L132" s="4">
        <v>10000</v>
      </c>
      <c r="M132" s="5">
        <v>7979.96</v>
      </c>
      <c r="N132" t="str">
        <f>IF(M132&gt;L132,"Alto",IF(M132&gt;L132*0.8,"Medio","Bajo"))</f>
        <v>Bajo</v>
      </c>
      <c r="O132" t="s">
        <v>33</v>
      </c>
    </row>
    <row r="133" spans="1:15">
      <c r="A133" t="s">
        <v>924</v>
      </c>
      <c r="B133" t="s">
        <v>925</v>
      </c>
      <c r="C133" t="s">
        <v>926</v>
      </c>
      <c r="D133" t="s">
        <v>927</v>
      </c>
      <c r="E133" s="2" t="s">
        <v>928</v>
      </c>
      <c r="F133" t="s">
        <v>40</v>
      </c>
      <c r="G133" t="s">
        <v>40</v>
      </c>
      <c r="H133" s="2" t="s">
        <v>929</v>
      </c>
      <c r="I133" t="s">
        <v>930</v>
      </c>
      <c r="J133" s="3">
        <v>44811</v>
      </c>
      <c r="K133" t="b">
        <v>0</v>
      </c>
      <c r="L133" s="4">
        <v>10000</v>
      </c>
      <c r="M133" s="5">
        <v>10016.04</v>
      </c>
      <c r="N133" t="str">
        <f>IF(M133&gt;L133,"Alto",IF(M133&gt;L133*0.8,"Medio","Bajo"))</f>
        <v>Alto</v>
      </c>
      <c r="O133" t="s">
        <v>24</v>
      </c>
    </row>
    <row r="134" spans="1:15" hidden="1">
      <c r="A134" t="s">
        <v>931</v>
      </c>
      <c r="B134" t="s">
        <v>932</v>
      </c>
      <c r="C134" t="s">
        <v>933</v>
      </c>
      <c r="D134" t="s">
        <v>934</v>
      </c>
      <c r="E134" s="2" t="s">
        <v>935</v>
      </c>
      <c r="F134" t="s">
        <v>20</v>
      </c>
      <c r="G134" t="s">
        <v>21</v>
      </c>
      <c r="H134" s="2" t="s">
        <v>936</v>
      </c>
      <c r="I134" t="s">
        <v>937</v>
      </c>
      <c r="J134" s="3">
        <v>45385</v>
      </c>
      <c r="K134" t="b">
        <v>1</v>
      </c>
      <c r="L134" s="4">
        <v>5000</v>
      </c>
      <c r="M134" s="5">
        <v>3653.77</v>
      </c>
      <c r="N134" t="str">
        <f>IF(M134&gt;L134,"Alto",IF(M134&gt;L134*0.8,"Medio","Bajo"))</f>
        <v>Bajo</v>
      </c>
      <c r="O134" t="s">
        <v>33</v>
      </c>
    </row>
    <row r="135" spans="1:15">
      <c r="A135" t="s">
        <v>938</v>
      </c>
      <c r="B135" t="s">
        <v>516</v>
      </c>
      <c r="C135" t="s">
        <v>939</v>
      </c>
      <c r="D135" t="s">
        <v>940</v>
      </c>
      <c r="E135" s="2" t="s">
        <v>941</v>
      </c>
      <c r="F135" t="s">
        <v>162</v>
      </c>
      <c r="G135" t="s">
        <v>30</v>
      </c>
      <c r="H135" s="2" t="s">
        <v>942</v>
      </c>
      <c r="I135" t="s">
        <v>943</v>
      </c>
      <c r="J135" s="3">
        <v>44708</v>
      </c>
      <c r="K135" t="b">
        <v>1</v>
      </c>
      <c r="L135" s="4">
        <v>10000</v>
      </c>
      <c r="M135" s="5">
        <v>6851.36</v>
      </c>
      <c r="N135" t="str">
        <f>IF(M135&gt;L135,"Alto",IF(M135&gt;L135*0.8,"Medio","Bajo"))</f>
        <v>Bajo</v>
      </c>
      <c r="O135" t="s">
        <v>33</v>
      </c>
    </row>
    <row r="136" spans="1:15" hidden="1">
      <c r="A136" t="s">
        <v>944</v>
      </c>
      <c r="B136" t="s">
        <v>128</v>
      </c>
      <c r="C136" t="s">
        <v>945</v>
      </c>
      <c r="D136" t="s">
        <v>946</v>
      </c>
      <c r="E136" s="2" t="s">
        <v>947</v>
      </c>
      <c r="F136" t="s">
        <v>147</v>
      </c>
      <c r="G136" t="s">
        <v>147</v>
      </c>
      <c r="H136" s="2" t="s">
        <v>948</v>
      </c>
      <c r="I136" t="s">
        <v>949</v>
      </c>
      <c r="J136" s="3">
        <v>44470</v>
      </c>
      <c r="K136" t="b">
        <v>1</v>
      </c>
      <c r="L136" s="4">
        <v>3000</v>
      </c>
      <c r="M136" s="5">
        <v>3222.38</v>
      </c>
      <c r="N136" t="str">
        <f>IF(M136&gt;L136,"Alto",IF(M136&gt;L136*0.8,"Medio","Bajo"))</f>
        <v>Alto</v>
      </c>
      <c r="O136" t="s">
        <v>24</v>
      </c>
    </row>
    <row r="137" spans="1:15" hidden="1">
      <c r="A137" t="s">
        <v>950</v>
      </c>
      <c r="B137" t="s">
        <v>244</v>
      </c>
      <c r="C137" t="s">
        <v>951</v>
      </c>
      <c r="D137" t="s">
        <v>952</v>
      </c>
      <c r="E137" s="2" t="s">
        <v>953</v>
      </c>
      <c r="F137" t="s">
        <v>196</v>
      </c>
      <c r="G137" t="s">
        <v>196</v>
      </c>
      <c r="H137" s="2" t="s">
        <v>954</v>
      </c>
      <c r="I137" t="s">
        <v>955</v>
      </c>
      <c r="J137" s="3">
        <v>42412</v>
      </c>
      <c r="K137" t="b">
        <v>1</v>
      </c>
      <c r="L137" s="4">
        <v>20000</v>
      </c>
      <c r="M137" s="5">
        <v>16784.79</v>
      </c>
      <c r="N137" t="str">
        <f>IF(M137&gt;L137,"Alto",IF(M137&gt;L137*0.8,"Medio","Bajo"))</f>
        <v>Medio</v>
      </c>
      <c r="O137" t="s">
        <v>33</v>
      </c>
    </row>
    <row r="138" spans="1:15">
      <c r="A138" t="s">
        <v>956</v>
      </c>
      <c r="B138" t="s">
        <v>957</v>
      </c>
      <c r="C138" t="s">
        <v>958</v>
      </c>
      <c r="D138" t="s">
        <v>959</v>
      </c>
      <c r="E138" s="2" t="s">
        <v>960</v>
      </c>
      <c r="F138" t="s">
        <v>39</v>
      </c>
      <c r="G138" t="s">
        <v>40</v>
      </c>
      <c r="H138" s="2" t="s">
        <v>961</v>
      </c>
      <c r="I138" t="s">
        <v>962</v>
      </c>
      <c r="J138" s="3">
        <v>43217</v>
      </c>
      <c r="K138" t="b">
        <v>0</v>
      </c>
      <c r="L138" s="4">
        <v>3000</v>
      </c>
      <c r="M138" s="5">
        <v>787.05</v>
      </c>
      <c r="N138" t="str">
        <f>IF(M138&gt;L138,"Alto",IF(M138&gt;L138*0.8,"Medio","Bajo"))</f>
        <v>Bajo</v>
      </c>
      <c r="O138" t="s">
        <v>33</v>
      </c>
    </row>
    <row r="139" spans="1:15" hidden="1">
      <c r="A139" t="s">
        <v>963</v>
      </c>
      <c r="B139" t="s">
        <v>964</v>
      </c>
      <c r="C139" t="s">
        <v>965</v>
      </c>
      <c r="D139" t="s">
        <v>966</v>
      </c>
      <c r="E139" s="2" t="s">
        <v>967</v>
      </c>
      <c r="F139" t="s">
        <v>63</v>
      </c>
      <c r="G139" t="s">
        <v>64</v>
      </c>
      <c r="H139" s="2" t="s">
        <v>968</v>
      </c>
      <c r="I139" t="s">
        <v>969</v>
      </c>
      <c r="J139" s="3">
        <v>43835</v>
      </c>
      <c r="K139" t="b">
        <v>1</v>
      </c>
      <c r="L139" s="4">
        <v>10000</v>
      </c>
      <c r="M139" s="5">
        <v>7839.82</v>
      </c>
      <c r="N139" t="str">
        <f>IF(M139&gt;L139,"Alto",IF(M139&gt;L139*0.8,"Medio","Bajo"))</f>
        <v>Bajo</v>
      </c>
      <c r="O139" t="s">
        <v>33</v>
      </c>
    </row>
    <row r="140" spans="1:15" hidden="1">
      <c r="A140" t="s">
        <v>970</v>
      </c>
      <c r="B140" t="s">
        <v>26</v>
      </c>
      <c r="C140" t="s">
        <v>971</v>
      </c>
      <c r="D140" t="s">
        <v>972</v>
      </c>
      <c r="E140" s="2" t="s">
        <v>973</v>
      </c>
      <c r="F140" t="s">
        <v>86</v>
      </c>
      <c r="G140" t="s">
        <v>86</v>
      </c>
      <c r="H140" s="2" t="s">
        <v>974</v>
      </c>
      <c r="I140" t="s">
        <v>975</v>
      </c>
      <c r="J140" s="3">
        <v>43197</v>
      </c>
      <c r="K140" t="b">
        <v>1</v>
      </c>
      <c r="L140" s="4">
        <v>5000</v>
      </c>
      <c r="M140" s="5">
        <v>2450.68</v>
      </c>
      <c r="N140" t="str">
        <f>IF(M140&gt;L140,"Alto",IF(M140&gt;L140*0.8,"Medio","Bajo"))</f>
        <v>Bajo</v>
      </c>
      <c r="O140" t="s">
        <v>33</v>
      </c>
    </row>
    <row r="141" spans="1:15" hidden="1">
      <c r="A141" t="s">
        <v>976</v>
      </c>
      <c r="B141" t="s">
        <v>977</v>
      </c>
      <c r="C141" t="s">
        <v>978</v>
      </c>
      <c r="D141" t="s">
        <v>979</v>
      </c>
      <c r="E141" s="2" t="s">
        <v>980</v>
      </c>
      <c r="F141" t="s">
        <v>297</v>
      </c>
      <c r="G141" t="s">
        <v>297</v>
      </c>
      <c r="H141" s="2" t="s">
        <v>981</v>
      </c>
      <c r="I141" t="s">
        <v>982</v>
      </c>
      <c r="J141" s="3">
        <v>45835</v>
      </c>
      <c r="K141" t="b">
        <v>1</v>
      </c>
      <c r="L141" s="4">
        <v>20000</v>
      </c>
      <c r="M141" s="5">
        <v>23079.2</v>
      </c>
      <c r="N141" t="str">
        <f>IF(M141&gt;L141,"Alto",IF(M141&gt;L141*0.8,"Medio","Bajo"))</f>
        <v>Alto</v>
      </c>
      <c r="O141" t="s">
        <v>24</v>
      </c>
    </row>
    <row r="142" spans="1:15">
      <c r="A142" t="s">
        <v>983</v>
      </c>
      <c r="B142" t="s">
        <v>911</v>
      </c>
      <c r="C142" t="s">
        <v>984</v>
      </c>
      <c r="D142" t="s">
        <v>985</v>
      </c>
      <c r="E142" s="2" t="s">
        <v>986</v>
      </c>
      <c r="F142" t="s">
        <v>39</v>
      </c>
      <c r="G142" t="s">
        <v>40</v>
      </c>
      <c r="H142" s="2" t="s">
        <v>987</v>
      </c>
      <c r="I142" t="s">
        <v>988</v>
      </c>
      <c r="J142" s="3">
        <v>45700</v>
      </c>
      <c r="K142" t="b">
        <v>1</v>
      </c>
      <c r="L142" s="4">
        <v>10000</v>
      </c>
      <c r="M142" s="5">
        <v>930.88</v>
      </c>
      <c r="N142" t="str">
        <f>IF(M142&gt;L142,"Alto",IF(M142&gt;L142*0.8,"Medio","Bajo"))</f>
        <v>Bajo</v>
      </c>
      <c r="O142" t="s">
        <v>33</v>
      </c>
    </row>
    <row r="143" spans="1:15" hidden="1">
      <c r="A143" t="s">
        <v>989</v>
      </c>
      <c r="B143" t="s">
        <v>990</v>
      </c>
      <c r="C143" t="s">
        <v>991</v>
      </c>
      <c r="D143" t="s">
        <v>992</v>
      </c>
      <c r="E143" s="2" t="s">
        <v>993</v>
      </c>
      <c r="F143" t="s">
        <v>20</v>
      </c>
      <c r="G143" t="s">
        <v>21</v>
      </c>
      <c r="H143" s="2" t="s">
        <v>994</v>
      </c>
      <c r="I143" t="s">
        <v>995</v>
      </c>
      <c r="J143" s="3">
        <v>43886</v>
      </c>
      <c r="K143" t="b">
        <v>1</v>
      </c>
      <c r="L143" s="4">
        <v>10000</v>
      </c>
      <c r="M143" s="5">
        <v>9505.549999999999</v>
      </c>
      <c r="N143" t="str">
        <f>IF(M143&gt;L143,"Alto",IF(M143&gt;L143*0.8,"Medio","Bajo"))</f>
        <v>Medio</v>
      </c>
      <c r="O143" t="s">
        <v>33</v>
      </c>
    </row>
    <row r="144" spans="1:15">
      <c r="A144" t="s">
        <v>996</v>
      </c>
      <c r="B144" t="s">
        <v>52</v>
      </c>
      <c r="C144" t="s">
        <v>997</v>
      </c>
      <c r="D144" t="s">
        <v>998</v>
      </c>
      <c r="E144" s="2" t="s">
        <v>999</v>
      </c>
      <c r="F144" t="s">
        <v>30</v>
      </c>
      <c r="G144" t="s">
        <v>30</v>
      </c>
      <c r="H144" s="2" t="s">
        <v>1000</v>
      </c>
      <c r="I144" t="s">
        <v>1001</v>
      </c>
      <c r="J144" s="3">
        <v>44121</v>
      </c>
      <c r="K144" t="b">
        <v>1</v>
      </c>
      <c r="L144" s="4">
        <v>3000</v>
      </c>
      <c r="M144" s="5">
        <v>3379.18</v>
      </c>
      <c r="N144" t="str">
        <f>IF(M144&gt;L144,"Alto",IF(M144&gt;L144*0.8,"Medio","Bajo"))</f>
        <v>Alto</v>
      </c>
      <c r="O144" t="s">
        <v>24</v>
      </c>
    </row>
    <row r="145" spans="1:15" hidden="1">
      <c r="A145" t="s">
        <v>1002</v>
      </c>
      <c r="B145" t="s">
        <v>1003</v>
      </c>
      <c r="C145" t="s">
        <v>1004</v>
      </c>
      <c r="D145" t="s">
        <v>1005</v>
      </c>
      <c r="E145" s="2" t="s">
        <v>1006</v>
      </c>
      <c r="F145" t="s">
        <v>63</v>
      </c>
      <c r="G145" t="s">
        <v>64</v>
      </c>
      <c r="H145" s="2" t="s">
        <v>1007</v>
      </c>
      <c r="I145" t="s">
        <v>1008</v>
      </c>
      <c r="J145" s="3">
        <v>44900</v>
      </c>
      <c r="K145" t="b">
        <v>1</v>
      </c>
      <c r="L145" s="4">
        <v>10000</v>
      </c>
      <c r="M145" s="5">
        <v>5091.69</v>
      </c>
      <c r="N145" t="str">
        <f>IF(M145&gt;L145,"Alto",IF(M145&gt;L145*0.8,"Medio","Bajo"))</f>
        <v>Bajo</v>
      </c>
      <c r="O145" t="s">
        <v>33</v>
      </c>
    </row>
    <row r="146" spans="1:15" hidden="1">
      <c r="A146" t="s">
        <v>1009</v>
      </c>
      <c r="B146" t="s">
        <v>1010</v>
      </c>
      <c r="C146" t="s">
        <v>1011</v>
      </c>
      <c r="D146" t="s">
        <v>1012</v>
      </c>
      <c r="E146" s="2" t="s">
        <v>1013</v>
      </c>
      <c r="F146" t="s">
        <v>20</v>
      </c>
      <c r="G146" t="s">
        <v>21</v>
      </c>
      <c r="H146" s="2" t="s">
        <v>1014</v>
      </c>
      <c r="I146" t="s">
        <v>1015</v>
      </c>
      <c r="J146" s="3">
        <v>45256</v>
      </c>
      <c r="K146" t="b">
        <v>1</v>
      </c>
      <c r="L146" s="4">
        <v>3000</v>
      </c>
      <c r="M146" s="5">
        <v>3501.56</v>
      </c>
      <c r="N146" t="str">
        <f>IF(M146&gt;L146,"Alto",IF(M146&gt;L146*0.8,"Medio","Bajo"))</f>
        <v>Alto</v>
      </c>
      <c r="O146" t="s">
        <v>24</v>
      </c>
    </row>
    <row r="147" spans="1:15" hidden="1">
      <c r="A147" t="s">
        <v>1016</v>
      </c>
      <c r="B147" t="s">
        <v>756</v>
      </c>
      <c r="C147" t="s">
        <v>1017</v>
      </c>
      <c r="D147" t="s">
        <v>1018</v>
      </c>
      <c r="E147" s="2" t="s">
        <v>1019</v>
      </c>
      <c r="F147" t="s">
        <v>147</v>
      </c>
      <c r="G147" t="s">
        <v>147</v>
      </c>
      <c r="H147" s="2" t="s">
        <v>1020</v>
      </c>
      <c r="I147" t="s">
        <v>1021</v>
      </c>
      <c r="J147" s="3">
        <v>42840</v>
      </c>
      <c r="K147" t="b">
        <v>1</v>
      </c>
      <c r="L147" s="4">
        <v>10000</v>
      </c>
      <c r="M147" s="5">
        <v>847.65</v>
      </c>
      <c r="N147" t="str">
        <f>IF(M147&gt;L147,"Alto",IF(M147&gt;L147*0.8,"Medio","Bajo"))</f>
        <v>Bajo</v>
      </c>
      <c r="O147" t="s">
        <v>33</v>
      </c>
    </row>
    <row r="148" spans="1:15" hidden="1">
      <c r="A148" t="s">
        <v>1022</v>
      </c>
      <c r="B148" t="s">
        <v>1023</v>
      </c>
      <c r="C148" t="s">
        <v>1024</v>
      </c>
      <c r="D148" t="s">
        <v>1025</v>
      </c>
      <c r="E148" s="2" t="s">
        <v>1026</v>
      </c>
      <c r="F148" t="s">
        <v>227</v>
      </c>
      <c r="G148" t="s">
        <v>227</v>
      </c>
      <c r="H148" s="2" t="s">
        <v>1027</v>
      </c>
      <c r="I148" t="s">
        <v>1028</v>
      </c>
      <c r="J148" s="3">
        <v>42834</v>
      </c>
      <c r="K148" t="b">
        <v>1</v>
      </c>
      <c r="L148" s="4">
        <v>3000</v>
      </c>
      <c r="M148" s="5">
        <v>3312.35</v>
      </c>
      <c r="N148" t="str">
        <f>IF(M148&gt;L148,"Alto",IF(M148&gt;L148*0.8,"Medio","Bajo"))</f>
        <v>Alto</v>
      </c>
      <c r="O148" t="s">
        <v>24</v>
      </c>
    </row>
    <row r="149" spans="1:15" hidden="1">
      <c r="A149" t="s">
        <v>1029</v>
      </c>
      <c r="B149" t="s">
        <v>1030</v>
      </c>
      <c r="C149" t="s">
        <v>1031</v>
      </c>
      <c r="D149" t="s">
        <v>1032</v>
      </c>
      <c r="E149" s="2" t="s">
        <v>1033</v>
      </c>
      <c r="F149" t="s">
        <v>196</v>
      </c>
      <c r="G149" t="s">
        <v>196</v>
      </c>
      <c r="H149" s="2" t="s">
        <v>1034</v>
      </c>
      <c r="I149" t="s">
        <v>1035</v>
      </c>
      <c r="J149" s="3">
        <v>43620</v>
      </c>
      <c r="K149" t="b">
        <v>1</v>
      </c>
      <c r="L149" s="4">
        <v>10000</v>
      </c>
      <c r="M149" s="5">
        <v>4277.11</v>
      </c>
      <c r="N149" t="str">
        <f>IF(M149&gt;L149,"Alto",IF(M149&gt;L149*0.8,"Medio","Bajo"))</f>
        <v>Bajo</v>
      </c>
      <c r="O149" t="s">
        <v>33</v>
      </c>
    </row>
    <row r="150" spans="1:15" hidden="1">
      <c r="A150" t="s">
        <v>1036</v>
      </c>
      <c r="B150" t="s">
        <v>1037</v>
      </c>
      <c r="C150" t="s">
        <v>1038</v>
      </c>
      <c r="D150" t="s">
        <v>1039</v>
      </c>
      <c r="E150" s="2" t="s">
        <v>1040</v>
      </c>
      <c r="F150" t="s">
        <v>63</v>
      </c>
      <c r="G150" t="s">
        <v>64</v>
      </c>
      <c r="H150" s="2" t="s">
        <v>1041</v>
      </c>
      <c r="I150" t="s">
        <v>1042</v>
      </c>
      <c r="J150" s="3">
        <v>45483</v>
      </c>
      <c r="K150" t="b">
        <v>1</v>
      </c>
      <c r="L150" s="4">
        <v>20000</v>
      </c>
      <c r="M150" s="5">
        <v>19395.97</v>
      </c>
      <c r="N150" t="str">
        <f>IF(M150&gt;L150,"Alto",IF(M150&gt;L150*0.8,"Medio","Bajo"))</f>
        <v>Medio</v>
      </c>
      <c r="O150" t="s">
        <v>33</v>
      </c>
    </row>
    <row r="151" spans="1:15" hidden="1">
      <c r="A151" t="s">
        <v>1043</v>
      </c>
      <c r="B151" t="s">
        <v>1044</v>
      </c>
      <c r="C151" t="s">
        <v>1045</v>
      </c>
      <c r="D151" t="s">
        <v>1046</v>
      </c>
      <c r="E151" s="2" t="s">
        <v>1047</v>
      </c>
      <c r="F151" t="s">
        <v>147</v>
      </c>
      <c r="G151" t="s">
        <v>147</v>
      </c>
      <c r="H151" s="2" t="s">
        <v>1048</v>
      </c>
      <c r="I151" t="s">
        <v>1049</v>
      </c>
      <c r="J151" s="3">
        <v>45181</v>
      </c>
      <c r="K151" t="b">
        <v>1</v>
      </c>
      <c r="L151" s="4">
        <v>10000</v>
      </c>
      <c r="M151" s="5">
        <v>201.61</v>
      </c>
      <c r="N151" t="str">
        <f>IF(M151&gt;L151,"Alto",IF(M151&gt;L151*0.8,"Medio","Bajo"))</f>
        <v>Bajo</v>
      </c>
      <c r="O151" t="s">
        <v>33</v>
      </c>
    </row>
    <row r="152" spans="1:15" hidden="1">
      <c r="A152" t="s">
        <v>1050</v>
      </c>
      <c r="B152" t="s">
        <v>1051</v>
      </c>
      <c r="C152" t="s">
        <v>1052</v>
      </c>
      <c r="D152" t="s">
        <v>1053</v>
      </c>
      <c r="E152" s="2" t="s">
        <v>1054</v>
      </c>
      <c r="F152" t="s">
        <v>297</v>
      </c>
      <c r="G152" t="s">
        <v>297</v>
      </c>
      <c r="H152" s="2" t="s">
        <v>1055</v>
      </c>
      <c r="I152" t="s">
        <v>1056</v>
      </c>
      <c r="J152" s="3">
        <v>42737</v>
      </c>
      <c r="K152" t="b">
        <v>1</v>
      </c>
      <c r="L152" s="4">
        <v>10000</v>
      </c>
      <c r="M152" s="5">
        <v>5289.29</v>
      </c>
      <c r="N152" t="str">
        <f>IF(M152&gt;L152,"Alto",IF(M152&gt;L152*0.8,"Medio","Bajo"))</f>
        <v>Bajo</v>
      </c>
      <c r="O152" t="s">
        <v>33</v>
      </c>
    </row>
    <row r="153" spans="1:15" hidden="1">
      <c r="A153" t="s">
        <v>1057</v>
      </c>
      <c r="B153" t="s">
        <v>1058</v>
      </c>
      <c r="C153" t="s">
        <v>1059</v>
      </c>
      <c r="D153" t="s">
        <v>1060</v>
      </c>
      <c r="E153" s="2" t="s">
        <v>1061</v>
      </c>
      <c r="F153" t="s">
        <v>63</v>
      </c>
      <c r="G153" t="s">
        <v>64</v>
      </c>
      <c r="H153" s="2" t="s">
        <v>1062</v>
      </c>
      <c r="I153" t="s">
        <v>1063</v>
      </c>
      <c r="J153" s="3">
        <v>43439</v>
      </c>
      <c r="K153" t="b">
        <v>0</v>
      </c>
      <c r="L153" s="4">
        <v>20000</v>
      </c>
      <c r="M153" s="5">
        <v>22791.38</v>
      </c>
      <c r="N153" t="str">
        <f>IF(M153&gt;L153,"Alto",IF(M153&gt;L153*0.8,"Medio","Bajo"))</f>
        <v>Alto</v>
      </c>
      <c r="O153" t="s">
        <v>24</v>
      </c>
    </row>
    <row r="154" spans="1:15">
      <c r="A154" t="s">
        <v>1064</v>
      </c>
      <c r="B154" t="s">
        <v>977</v>
      </c>
      <c r="C154" t="s">
        <v>1065</v>
      </c>
      <c r="D154" t="s">
        <v>1066</v>
      </c>
      <c r="E154" s="2" t="s">
        <v>1067</v>
      </c>
      <c r="F154" t="s">
        <v>39</v>
      </c>
      <c r="G154" t="s">
        <v>40</v>
      </c>
      <c r="H154" s="2" t="s">
        <v>1068</v>
      </c>
      <c r="I154" t="s">
        <v>1069</v>
      </c>
      <c r="J154" s="3">
        <v>43907</v>
      </c>
      <c r="K154" t="b">
        <v>1</v>
      </c>
      <c r="L154" s="4">
        <v>10000</v>
      </c>
      <c r="M154" s="5">
        <v>10196.96</v>
      </c>
      <c r="N154" t="str">
        <f>IF(M154&gt;L154,"Alto",IF(M154&gt;L154*0.8,"Medio","Bajo"))</f>
        <v>Alto</v>
      </c>
      <c r="O154" t="s">
        <v>24</v>
      </c>
    </row>
    <row r="155" spans="1:15" hidden="1">
      <c r="A155" t="s">
        <v>1070</v>
      </c>
      <c r="B155" t="s">
        <v>1071</v>
      </c>
      <c r="C155" t="s">
        <v>1072</v>
      </c>
      <c r="D155" t="s">
        <v>1073</v>
      </c>
      <c r="E155" s="2" t="s">
        <v>1074</v>
      </c>
      <c r="F155" t="s">
        <v>297</v>
      </c>
      <c r="G155" t="s">
        <v>297</v>
      </c>
      <c r="H155" s="2" t="s">
        <v>1075</v>
      </c>
      <c r="I155" t="s">
        <v>1076</v>
      </c>
      <c r="J155" s="3">
        <v>43034</v>
      </c>
      <c r="K155" t="b">
        <v>1</v>
      </c>
      <c r="L155" s="4">
        <v>10000</v>
      </c>
      <c r="M155" s="5">
        <v>10270.08</v>
      </c>
      <c r="N155" t="str">
        <f>IF(M155&gt;L155,"Alto",IF(M155&gt;L155*0.8,"Medio","Bajo"))</f>
        <v>Alto</v>
      </c>
      <c r="O155" t="s">
        <v>24</v>
      </c>
    </row>
    <row r="156" spans="1:15" hidden="1">
      <c r="A156" t="s">
        <v>1077</v>
      </c>
      <c r="B156" t="s">
        <v>977</v>
      </c>
      <c r="C156" t="s">
        <v>1078</v>
      </c>
      <c r="D156" t="s">
        <v>765</v>
      </c>
      <c r="E156" s="2" t="s">
        <v>1079</v>
      </c>
      <c r="F156" t="s">
        <v>196</v>
      </c>
      <c r="G156" t="s">
        <v>196</v>
      </c>
      <c r="H156" s="2" t="s">
        <v>1080</v>
      </c>
      <c r="I156" t="s">
        <v>1081</v>
      </c>
      <c r="J156" s="3">
        <v>43661</v>
      </c>
      <c r="K156" t="b">
        <v>1</v>
      </c>
      <c r="L156" s="4">
        <v>10000</v>
      </c>
      <c r="M156" s="5">
        <v>6828.26</v>
      </c>
      <c r="N156" t="str">
        <f>IF(M156&gt;L156,"Alto",IF(M156&gt;L156*0.8,"Medio","Bajo"))</f>
        <v>Bajo</v>
      </c>
      <c r="O156" t="s">
        <v>33</v>
      </c>
    </row>
    <row r="157" spans="1:15" hidden="1">
      <c r="A157" t="s">
        <v>1082</v>
      </c>
      <c r="B157" t="s">
        <v>411</v>
      </c>
      <c r="C157" t="s">
        <v>1083</v>
      </c>
      <c r="D157" t="s">
        <v>1084</v>
      </c>
      <c r="E157" s="2" t="s">
        <v>1085</v>
      </c>
      <c r="F157" t="s">
        <v>297</v>
      </c>
      <c r="G157" t="s">
        <v>297</v>
      </c>
      <c r="H157" s="2" t="s">
        <v>1086</v>
      </c>
      <c r="I157" t="s">
        <v>1087</v>
      </c>
      <c r="J157" s="3">
        <v>43659</v>
      </c>
      <c r="K157" t="b">
        <v>1</v>
      </c>
      <c r="L157" s="4">
        <v>10000</v>
      </c>
      <c r="M157" s="5">
        <v>776.45</v>
      </c>
      <c r="N157" t="str">
        <f>IF(M157&gt;L157,"Alto",IF(M157&gt;L157*0.8,"Medio","Bajo"))</f>
        <v>Bajo</v>
      </c>
      <c r="O157" t="s">
        <v>33</v>
      </c>
    </row>
    <row r="158" spans="1:15">
      <c r="A158" t="s">
        <v>1088</v>
      </c>
      <c r="B158" t="s">
        <v>812</v>
      </c>
      <c r="C158" t="s">
        <v>1089</v>
      </c>
      <c r="D158" t="s">
        <v>1090</v>
      </c>
      <c r="E158" s="2" t="s">
        <v>1091</v>
      </c>
      <c r="F158" t="s">
        <v>30</v>
      </c>
      <c r="G158" t="s">
        <v>30</v>
      </c>
      <c r="H158" s="2" t="s">
        <v>1092</v>
      </c>
      <c r="I158" t="s">
        <v>1093</v>
      </c>
      <c r="J158" s="3">
        <v>43596</v>
      </c>
      <c r="K158" t="b">
        <v>1</v>
      </c>
      <c r="L158" s="4">
        <v>20000</v>
      </c>
      <c r="M158" s="5">
        <v>19412.23</v>
      </c>
      <c r="N158" t="str">
        <f>IF(M158&gt;L158,"Alto",IF(M158&gt;L158*0.8,"Medio","Bajo"))</f>
        <v>Medio</v>
      </c>
      <c r="O158" t="s">
        <v>33</v>
      </c>
    </row>
    <row r="159" spans="1:15">
      <c r="A159" t="s">
        <v>1094</v>
      </c>
      <c r="B159" t="s">
        <v>1095</v>
      </c>
      <c r="C159" t="s">
        <v>1096</v>
      </c>
      <c r="D159" t="s">
        <v>1097</v>
      </c>
      <c r="E159" s="2" t="s">
        <v>1098</v>
      </c>
      <c r="F159" t="s">
        <v>162</v>
      </c>
      <c r="G159" t="s">
        <v>30</v>
      </c>
      <c r="H159" s="2" t="s">
        <v>1099</v>
      </c>
      <c r="I159" t="s">
        <v>1100</v>
      </c>
      <c r="J159" s="3">
        <v>44009</v>
      </c>
      <c r="K159" t="b">
        <v>1</v>
      </c>
      <c r="L159" s="4">
        <v>20000</v>
      </c>
      <c r="M159" s="5">
        <v>15512.44</v>
      </c>
      <c r="N159" t="str">
        <f>IF(M159&gt;L159,"Alto",IF(M159&gt;L159*0.8,"Medio","Bajo"))</f>
        <v>Bajo</v>
      </c>
      <c r="O159" t="s">
        <v>33</v>
      </c>
    </row>
    <row r="160" spans="1:15" hidden="1">
      <c r="A160" t="s">
        <v>1101</v>
      </c>
      <c r="B160" t="s">
        <v>1102</v>
      </c>
      <c r="C160" t="s">
        <v>1103</v>
      </c>
      <c r="D160" t="s">
        <v>1018</v>
      </c>
      <c r="E160" s="2" t="s">
        <v>1104</v>
      </c>
      <c r="F160" t="s">
        <v>297</v>
      </c>
      <c r="G160" t="s">
        <v>297</v>
      </c>
      <c r="H160" s="2" t="s">
        <v>1105</v>
      </c>
      <c r="I160" t="s">
        <v>1106</v>
      </c>
      <c r="J160" s="3">
        <v>43727</v>
      </c>
      <c r="K160" t="b">
        <v>1</v>
      </c>
      <c r="L160" s="4">
        <v>20000</v>
      </c>
      <c r="M160" s="5">
        <v>19284.81</v>
      </c>
      <c r="N160" t="str">
        <f>IF(M160&gt;L160,"Alto",IF(M160&gt;L160*0.8,"Medio","Bajo"))</f>
        <v>Medio</v>
      </c>
      <c r="O160" t="s">
        <v>33</v>
      </c>
    </row>
    <row r="161" spans="1:15" hidden="1">
      <c r="A161" t="s">
        <v>1107</v>
      </c>
      <c r="B161" t="s">
        <v>301</v>
      </c>
      <c r="C161" t="s">
        <v>1108</v>
      </c>
      <c r="D161" t="s">
        <v>1109</v>
      </c>
      <c r="E161" s="2" t="s">
        <v>1110</v>
      </c>
      <c r="F161" t="s">
        <v>139</v>
      </c>
      <c r="G161" t="s">
        <v>139</v>
      </c>
      <c r="H161" s="2" t="s">
        <v>1111</v>
      </c>
      <c r="I161" t="s">
        <v>1112</v>
      </c>
      <c r="J161" s="3">
        <v>44061</v>
      </c>
      <c r="K161" t="b">
        <v>1</v>
      </c>
      <c r="L161" s="4">
        <v>10000</v>
      </c>
      <c r="M161" s="5">
        <v>6412.5</v>
      </c>
      <c r="N161" t="str">
        <f>IF(M161&gt;L161,"Alto",IF(M161&gt;L161*0.8,"Medio","Bajo"))</f>
        <v>Bajo</v>
      </c>
      <c r="O161" t="s">
        <v>33</v>
      </c>
    </row>
    <row r="162" spans="1:15" hidden="1">
      <c r="A162" t="s">
        <v>1113</v>
      </c>
      <c r="B162" t="s">
        <v>1114</v>
      </c>
      <c r="C162" t="s">
        <v>1115</v>
      </c>
      <c r="D162" t="s">
        <v>1116</v>
      </c>
      <c r="E162" s="2" t="s">
        <v>1117</v>
      </c>
      <c r="F162" t="s">
        <v>147</v>
      </c>
      <c r="G162" t="s">
        <v>147</v>
      </c>
      <c r="H162" s="2" t="s">
        <v>1118</v>
      </c>
      <c r="I162" t="s">
        <v>1119</v>
      </c>
      <c r="J162" s="3">
        <v>45336</v>
      </c>
      <c r="K162" t="b">
        <v>0</v>
      </c>
      <c r="L162" s="4">
        <v>5000</v>
      </c>
      <c r="M162" s="5">
        <v>1323.95</v>
      </c>
      <c r="N162" t="str">
        <f>IF(M162&gt;L162,"Alto",IF(M162&gt;L162*0.8,"Medio","Bajo"))</f>
        <v>Bajo</v>
      </c>
      <c r="O162" t="s">
        <v>33</v>
      </c>
    </row>
    <row r="163" spans="1:15" hidden="1">
      <c r="A163" t="s">
        <v>1120</v>
      </c>
      <c r="B163" t="s">
        <v>1121</v>
      </c>
      <c r="C163" t="s">
        <v>1122</v>
      </c>
      <c r="D163" t="s">
        <v>1123</v>
      </c>
      <c r="E163" s="2" t="s">
        <v>1124</v>
      </c>
      <c r="F163" t="s">
        <v>86</v>
      </c>
      <c r="G163" t="s">
        <v>86</v>
      </c>
      <c r="H163" s="2" t="s">
        <v>1125</v>
      </c>
      <c r="I163" t="s">
        <v>1126</v>
      </c>
      <c r="J163" s="3">
        <v>43908</v>
      </c>
      <c r="K163" t="b">
        <v>0</v>
      </c>
      <c r="L163" s="4">
        <v>10000</v>
      </c>
      <c r="M163" s="5">
        <v>8742.4</v>
      </c>
      <c r="N163" t="str">
        <f>IF(M163&gt;L163,"Alto",IF(M163&gt;L163*0.8,"Medio","Bajo"))</f>
        <v>Medio</v>
      </c>
      <c r="O163" t="s">
        <v>33</v>
      </c>
    </row>
    <row r="164" spans="1:15" hidden="1">
      <c r="A164" t="s">
        <v>1127</v>
      </c>
      <c r="B164" t="s">
        <v>158</v>
      </c>
      <c r="C164" t="s">
        <v>1128</v>
      </c>
      <c r="D164" t="s">
        <v>1129</v>
      </c>
      <c r="E164" s="2" t="s">
        <v>1130</v>
      </c>
      <c r="F164" t="s">
        <v>196</v>
      </c>
      <c r="G164" t="s">
        <v>196</v>
      </c>
      <c r="H164" s="2" t="s">
        <v>1131</v>
      </c>
      <c r="I164" t="s">
        <v>1132</v>
      </c>
      <c r="J164" s="3">
        <v>44186</v>
      </c>
      <c r="K164" t="b">
        <v>1</v>
      </c>
      <c r="L164" s="4">
        <v>20000</v>
      </c>
      <c r="M164" s="5">
        <v>7205.05</v>
      </c>
      <c r="N164" t="str">
        <f>IF(M164&gt;L164,"Alto",IF(M164&gt;L164*0.8,"Medio","Bajo"))</f>
        <v>Bajo</v>
      </c>
      <c r="O164" t="s">
        <v>33</v>
      </c>
    </row>
    <row r="165" spans="1:15" hidden="1">
      <c r="A165" t="s">
        <v>1133</v>
      </c>
      <c r="B165" t="s">
        <v>624</v>
      </c>
      <c r="C165" t="s">
        <v>1134</v>
      </c>
      <c r="D165" t="s">
        <v>1135</v>
      </c>
      <c r="E165" s="2" t="s">
        <v>1136</v>
      </c>
      <c r="F165" t="s">
        <v>211</v>
      </c>
      <c r="G165" t="s">
        <v>212</v>
      </c>
      <c r="H165" s="2" t="s">
        <v>1137</v>
      </c>
      <c r="I165" t="s">
        <v>1138</v>
      </c>
      <c r="J165" s="3">
        <v>45538</v>
      </c>
      <c r="K165" t="b">
        <v>1</v>
      </c>
      <c r="L165" s="4">
        <v>5000</v>
      </c>
      <c r="M165" s="5">
        <v>4032.59</v>
      </c>
      <c r="N165" t="str">
        <f>IF(M165&gt;L165,"Alto",IF(M165&gt;L165*0.8,"Medio","Bajo"))</f>
        <v>Medio</v>
      </c>
      <c r="O165" t="s">
        <v>33</v>
      </c>
    </row>
    <row r="166" spans="1:15" hidden="1">
      <c r="A166" t="s">
        <v>1139</v>
      </c>
      <c r="B166" t="s">
        <v>1140</v>
      </c>
      <c r="C166" t="s">
        <v>1141</v>
      </c>
      <c r="D166" t="s">
        <v>579</v>
      </c>
      <c r="E166" s="2" t="s">
        <v>1142</v>
      </c>
      <c r="F166" t="s">
        <v>20</v>
      </c>
      <c r="G166" t="s">
        <v>21</v>
      </c>
      <c r="H166" s="2" t="s">
        <v>1143</v>
      </c>
      <c r="I166" t="s">
        <v>1144</v>
      </c>
      <c r="J166" s="3">
        <v>45761</v>
      </c>
      <c r="K166" t="b">
        <v>1</v>
      </c>
      <c r="L166" s="4">
        <v>3000</v>
      </c>
      <c r="M166" s="5">
        <v>89.41</v>
      </c>
      <c r="N166" t="str">
        <f>IF(M166&gt;L166,"Alto",IF(M166&gt;L166*0.8,"Medio","Bajo"))</f>
        <v>Bajo</v>
      </c>
      <c r="O166" t="s">
        <v>33</v>
      </c>
    </row>
    <row r="167" spans="1:15" hidden="1">
      <c r="A167" t="s">
        <v>1145</v>
      </c>
      <c r="B167" t="s">
        <v>1146</v>
      </c>
      <c r="C167" t="s">
        <v>1147</v>
      </c>
      <c r="D167" t="s">
        <v>1148</v>
      </c>
      <c r="E167" s="2" t="s">
        <v>1149</v>
      </c>
      <c r="F167" t="s">
        <v>227</v>
      </c>
      <c r="G167" t="s">
        <v>227</v>
      </c>
      <c r="H167" s="2" t="s">
        <v>1150</v>
      </c>
      <c r="I167" t="s">
        <v>1151</v>
      </c>
      <c r="J167" s="3">
        <v>43624</v>
      </c>
      <c r="K167" t="b">
        <v>0</v>
      </c>
      <c r="L167" s="4">
        <v>5000</v>
      </c>
      <c r="M167" s="5">
        <v>2930.27</v>
      </c>
      <c r="N167" t="str">
        <f>IF(M167&gt;L167,"Alto",IF(M167&gt;L167*0.8,"Medio","Bajo"))</f>
        <v>Bajo</v>
      </c>
      <c r="O167" t="s">
        <v>33</v>
      </c>
    </row>
    <row r="168" spans="1:15">
      <c r="A168" t="s">
        <v>1152</v>
      </c>
      <c r="B168" t="s">
        <v>1153</v>
      </c>
      <c r="C168" t="s">
        <v>1154</v>
      </c>
      <c r="D168" t="s">
        <v>1155</v>
      </c>
      <c r="E168" s="2" t="s">
        <v>1156</v>
      </c>
      <c r="F168" t="s">
        <v>40</v>
      </c>
      <c r="G168" t="s">
        <v>40</v>
      </c>
      <c r="H168" s="2" t="s">
        <v>1157</v>
      </c>
      <c r="I168" t="s">
        <v>1158</v>
      </c>
      <c r="J168" s="3">
        <v>44193</v>
      </c>
      <c r="K168" t="b">
        <v>0</v>
      </c>
      <c r="L168" s="4">
        <v>5000</v>
      </c>
      <c r="M168" s="5">
        <v>1933.8</v>
      </c>
      <c r="N168" t="str">
        <f>IF(M168&gt;L168,"Alto",IF(M168&gt;L168*0.8,"Medio","Bajo"))</f>
        <v>Bajo</v>
      </c>
      <c r="O168" t="s">
        <v>33</v>
      </c>
    </row>
    <row r="169" spans="1:15" hidden="1">
      <c r="A169" t="s">
        <v>1159</v>
      </c>
      <c r="B169" t="s">
        <v>1160</v>
      </c>
      <c r="C169" t="s">
        <v>1161</v>
      </c>
      <c r="D169" t="s">
        <v>1162</v>
      </c>
      <c r="E169" s="2" t="s">
        <v>1163</v>
      </c>
      <c r="F169" t="s">
        <v>86</v>
      </c>
      <c r="G169" t="s">
        <v>86</v>
      </c>
      <c r="H169" s="2" t="s">
        <v>1164</v>
      </c>
      <c r="I169" t="s">
        <v>1165</v>
      </c>
      <c r="J169" s="3">
        <v>42174</v>
      </c>
      <c r="K169" t="b">
        <v>1</v>
      </c>
      <c r="L169" s="4">
        <v>20000</v>
      </c>
      <c r="M169" s="5">
        <v>17559.12</v>
      </c>
      <c r="N169" t="str">
        <f>IF(M169&gt;L169,"Alto",IF(M169&gt;L169*0.8,"Medio","Bajo"))</f>
        <v>Medio</v>
      </c>
      <c r="O169" t="s">
        <v>33</v>
      </c>
    </row>
    <row r="170" spans="1:15" hidden="1">
      <c r="A170" t="s">
        <v>1166</v>
      </c>
      <c r="B170" t="s">
        <v>1160</v>
      </c>
      <c r="C170" t="s">
        <v>1167</v>
      </c>
      <c r="D170" t="s">
        <v>1168</v>
      </c>
      <c r="E170" s="2" t="s">
        <v>1169</v>
      </c>
      <c r="F170" t="s">
        <v>227</v>
      </c>
      <c r="G170" t="s">
        <v>227</v>
      </c>
      <c r="H170" s="2" t="s">
        <v>1170</v>
      </c>
      <c r="I170" t="s">
        <v>1171</v>
      </c>
      <c r="J170" s="3">
        <v>43996</v>
      </c>
      <c r="K170" t="b">
        <v>1</v>
      </c>
      <c r="L170" s="4">
        <v>5000</v>
      </c>
      <c r="M170" s="5">
        <v>5262.08</v>
      </c>
      <c r="N170" t="str">
        <f>IF(M170&gt;L170,"Alto",IF(M170&gt;L170*0.8,"Medio","Bajo"))</f>
        <v>Alto</v>
      </c>
      <c r="O170" t="s">
        <v>24</v>
      </c>
    </row>
    <row r="171" spans="1:15" hidden="1">
      <c r="A171" t="s">
        <v>1172</v>
      </c>
      <c r="B171" t="s">
        <v>1173</v>
      </c>
      <c r="C171" t="s">
        <v>1174</v>
      </c>
      <c r="D171" t="s">
        <v>1175</v>
      </c>
      <c r="E171" s="2" t="s">
        <v>1176</v>
      </c>
      <c r="F171" t="s">
        <v>86</v>
      </c>
      <c r="G171" t="s">
        <v>86</v>
      </c>
      <c r="H171" s="2" t="s">
        <v>1177</v>
      </c>
      <c r="I171" t="s">
        <v>1178</v>
      </c>
      <c r="J171" s="3">
        <v>44751</v>
      </c>
      <c r="K171" t="b">
        <v>1</v>
      </c>
      <c r="L171" s="4">
        <v>10000</v>
      </c>
      <c r="M171" s="5">
        <v>3021.72</v>
      </c>
      <c r="N171" t="str">
        <f>IF(M171&gt;L171,"Alto",IF(M171&gt;L171*0.8,"Medio","Bajo"))</f>
        <v>Bajo</v>
      </c>
      <c r="O171" t="s">
        <v>33</v>
      </c>
    </row>
    <row r="172" spans="1:15" hidden="1">
      <c r="A172" t="s">
        <v>1179</v>
      </c>
      <c r="B172" t="s">
        <v>463</v>
      </c>
      <c r="C172" t="s">
        <v>1180</v>
      </c>
      <c r="D172" t="s">
        <v>639</v>
      </c>
      <c r="E172" s="2" t="s">
        <v>1181</v>
      </c>
      <c r="F172" t="s">
        <v>227</v>
      </c>
      <c r="G172" t="s">
        <v>227</v>
      </c>
      <c r="H172" s="2" t="s">
        <v>1182</v>
      </c>
      <c r="I172" t="s">
        <v>1183</v>
      </c>
      <c r="J172" s="3">
        <v>45576</v>
      </c>
      <c r="K172" t="b">
        <v>1</v>
      </c>
      <c r="L172" s="4">
        <v>5000</v>
      </c>
      <c r="M172" s="5">
        <v>846.41</v>
      </c>
      <c r="N172" t="str">
        <f>IF(M172&gt;L172,"Alto",IF(M172&gt;L172*0.8,"Medio","Bajo"))</f>
        <v>Bajo</v>
      </c>
      <c r="O172" t="s">
        <v>33</v>
      </c>
    </row>
    <row r="173" spans="1:15">
      <c r="A173" t="s">
        <v>1184</v>
      </c>
      <c r="B173" t="s">
        <v>237</v>
      </c>
      <c r="C173" t="s">
        <v>1185</v>
      </c>
      <c r="D173" t="s">
        <v>1186</v>
      </c>
      <c r="E173" s="2" t="s">
        <v>1187</v>
      </c>
      <c r="F173" t="s">
        <v>40</v>
      </c>
      <c r="G173" t="s">
        <v>40</v>
      </c>
      <c r="H173" s="2" t="s">
        <v>1188</v>
      </c>
      <c r="I173" t="s">
        <v>1189</v>
      </c>
      <c r="J173" s="3">
        <v>42402</v>
      </c>
      <c r="K173" t="b">
        <v>1</v>
      </c>
      <c r="L173" s="4">
        <v>20000</v>
      </c>
      <c r="M173" s="5">
        <v>15981.41</v>
      </c>
      <c r="N173" t="str">
        <f>IF(M173&gt;L173,"Alto",IF(M173&gt;L173*0.8,"Medio","Bajo"))</f>
        <v>Bajo</v>
      </c>
      <c r="O173" t="s">
        <v>33</v>
      </c>
    </row>
    <row r="174" spans="1:15" hidden="1">
      <c r="A174" t="s">
        <v>1190</v>
      </c>
      <c r="B174" t="s">
        <v>1191</v>
      </c>
      <c r="C174" t="s">
        <v>1192</v>
      </c>
      <c r="D174" t="s">
        <v>1193</v>
      </c>
      <c r="E174" s="2" t="s">
        <v>1194</v>
      </c>
      <c r="F174" t="s">
        <v>20</v>
      </c>
      <c r="G174" t="s">
        <v>21</v>
      </c>
      <c r="H174" s="2" t="s">
        <v>1195</v>
      </c>
      <c r="I174" t="s">
        <v>1196</v>
      </c>
      <c r="J174" s="3">
        <v>45720</v>
      </c>
      <c r="K174" t="b">
        <v>1</v>
      </c>
      <c r="L174" s="4">
        <v>3000</v>
      </c>
      <c r="M174" s="5">
        <v>842.16</v>
      </c>
      <c r="N174" t="str">
        <f>IF(M174&gt;L174,"Alto",IF(M174&gt;L174*0.8,"Medio","Bajo"))</f>
        <v>Bajo</v>
      </c>
      <c r="O174" t="s">
        <v>33</v>
      </c>
    </row>
    <row r="175" spans="1:15" hidden="1">
      <c r="A175" t="s">
        <v>1197</v>
      </c>
      <c r="B175" t="s">
        <v>1198</v>
      </c>
      <c r="C175" t="s">
        <v>1199</v>
      </c>
      <c r="D175" t="s">
        <v>1200</v>
      </c>
      <c r="E175" s="2" t="s">
        <v>1201</v>
      </c>
      <c r="F175" t="s">
        <v>147</v>
      </c>
      <c r="G175" t="s">
        <v>147</v>
      </c>
      <c r="H175" s="2" t="s">
        <v>1202</v>
      </c>
      <c r="I175" t="s">
        <v>1203</v>
      </c>
      <c r="J175" s="3">
        <v>45702</v>
      </c>
      <c r="K175" t="b">
        <v>1</v>
      </c>
      <c r="L175" s="4">
        <v>10000</v>
      </c>
      <c r="M175" s="5">
        <v>8913.719999999999</v>
      </c>
      <c r="N175" t="str">
        <f>IF(M175&gt;L175,"Alto",IF(M175&gt;L175*0.8,"Medio","Bajo"))</f>
        <v>Medio</v>
      </c>
      <c r="O175" t="s">
        <v>33</v>
      </c>
    </row>
    <row r="176" spans="1:15" hidden="1">
      <c r="A176" t="s">
        <v>1204</v>
      </c>
      <c r="B176" t="s">
        <v>1205</v>
      </c>
      <c r="C176" t="s">
        <v>1206</v>
      </c>
      <c r="D176" t="s">
        <v>1207</v>
      </c>
      <c r="E176" s="2" t="s">
        <v>1208</v>
      </c>
      <c r="F176" t="s">
        <v>86</v>
      </c>
      <c r="G176" t="s">
        <v>86</v>
      </c>
      <c r="H176" s="2" t="s">
        <v>1209</v>
      </c>
      <c r="I176" t="s">
        <v>1210</v>
      </c>
      <c r="J176" s="3">
        <v>44707</v>
      </c>
      <c r="K176" t="b">
        <v>1</v>
      </c>
      <c r="L176" s="4">
        <v>3000</v>
      </c>
      <c r="M176" s="5">
        <v>1456.15</v>
      </c>
      <c r="N176" t="str">
        <f>IF(M176&gt;L176,"Alto",IF(M176&gt;L176*0.8,"Medio","Bajo"))</f>
        <v>Bajo</v>
      </c>
      <c r="O176" t="s">
        <v>33</v>
      </c>
    </row>
    <row r="177" spans="1:15">
      <c r="A177" t="s">
        <v>1211</v>
      </c>
      <c r="B177" t="s">
        <v>237</v>
      </c>
      <c r="C177" t="s">
        <v>1212</v>
      </c>
      <c r="D177" t="s">
        <v>1116</v>
      </c>
      <c r="E177" s="2" t="s">
        <v>1213</v>
      </c>
      <c r="F177" t="s">
        <v>39</v>
      </c>
      <c r="G177" t="s">
        <v>40</v>
      </c>
      <c r="H177" s="2" t="s">
        <v>1214</v>
      </c>
      <c r="I177" t="s">
        <v>1215</v>
      </c>
      <c r="J177" s="3">
        <v>42064</v>
      </c>
      <c r="K177" t="b">
        <v>0</v>
      </c>
      <c r="L177" s="4">
        <v>20000</v>
      </c>
      <c r="M177" s="5">
        <v>11329.64</v>
      </c>
      <c r="N177" t="str">
        <f>IF(M177&gt;L177,"Alto",IF(M177&gt;L177*0.8,"Medio","Bajo"))</f>
        <v>Bajo</v>
      </c>
      <c r="O177" t="s">
        <v>33</v>
      </c>
    </row>
    <row r="178" spans="1:15">
      <c r="A178" t="s">
        <v>1216</v>
      </c>
      <c r="B178" t="s">
        <v>777</v>
      </c>
      <c r="C178" t="s">
        <v>1217</v>
      </c>
      <c r="D178" t="s">
        <v>841</v>
      </c>
      <c r="E178" s="2" t="s">
        <v>1218</v>
      </c>
      <c r="F178" t="s">
        <v>162</v>
      </c>
      <c r="G178" t="s">
        <v>30</v>
      </c>
      <c r="H178" s="2" t="s">
        <v>1219</v>
      </c>
      <c r="I178" t="s">
        <v>1220</v>
      </c>
      <c r="J178" s="3">
        <v>44545</v>
      </c>
      <c r="K178" t="b">
        <v>1</v>
      </c>
      <c r="L178" s="4">
        <v>5000</v>
      </c>
      <c r="M178" s="5">
        <v>5976.32</v>
      </c>
      <c r="N178" t="str">
        <f>IF(M178&gt;L178,"Alto",IF(M178&gt;L178*0.8,"Medio","Bajo"))</f>
        <v>Alto</v>
      </c>
      <c r="O178" t="s">
        <v>24</v>
      </c>
    </row>
    <row r="179" spans="1:15" hidden="1">
      <c r="A179" t="s">
        <v>1221</v>
      </c>
      <c r="B179" t="s">
        <v>469</v>
      </c>
      <c r="C179" t="s">
        <v>1222</v>
      </c>
      <c r="D179" t="s">
        <v>1223</v>
      </c>
      <c r="E179" s="2" t="s">
        <v>1224</v>
      </c>
      <c r="F179" t="s">
        <v>101</v>
      </c>
      <c r="G179" t="s">
        <v>102</v>
      </c>
      <c r="H179" s="2" t="s">
        <v>1225</v>
      </c>
      <c r="I179" t="s">
        <v>1226</v>
      </c>
      <c r="J179" s="3">
        <v>42834</v>
      </c>
      <c r="K179" t="b">
        <v>1</v>
      </c>
      <c r="L179" s="4">
        <v>20000</v>
      </c>
      <c r="M179" s="5">
        <v>19126.76</v>
      </c>
      <c r="N179" t="str">
        <f>IF(M179&gt;L179,"Alto",IF(M179&gt;L179*0.8,"Medio","Bajo"))</f>
        <v>Medio</v>
      </c>
      <c r="O179" t="s">
        <v>33</v>
      </c>
    </row>
    <row r="180" spans="1:15">
      <c r="A180" t="s">
        <v>1227</v>
      </c>
      <c r="B180" t="s">
        <v>1228</v>
      </c>
      <c r="C180" t="s">
        <v>1229</v>
      </c>
      <c r="D180" t="s">
        <v>1230</v>
      </c>
      <c r="E180" s="2" t="s">
        <v>1091</v>
      </c>
      <c r="F180" t="s">
        <v>162</v>
      </c>
      <c r="G180" t="s">
        <v>30</v>
      </c>
      <c r="H180" s="2" t="s">
        <v>1231</v>
      </c>
      <c r="I180" t="s">
        <v>1232</v>
      </c>
      <c r="J180" s="3">
        <v>44220</v>
      </c>
      <c r="K180" t="b">
        <v>1</v>
      </c>
      <c r="L180" s="4">
        <v>5000</v>
      </c>
      <c r="M180" s="5">
        <v>2064.35</v>
      </c>
      <c r="N180" t="str">
        <f>IF(M180&gt;L180,"Alto",IF(M180&gt;L180*0.8,"Medio","Bajo"))</f>
        <v>Bajo</v>
      </c>
      <c r="O180" t="s">
        <v>33</v>
      </c>
    </row>
    <row r="181" spans="1:15" hidden="1">
      <c r="A181" t="s">
        <v>1233</v>
      </c>
      <c r="B181" t="s">
        <v>1234</v>
      </c>
      <c r="C181" t="s">
        <v>1235</v>
      </c>
      <c r="D181" t="s">
        <v>1236</v>
      </c>
      <c r="E181" s="2" t="s">
        <v>1237</v>
      </c>
      <c r="F181" t="s">
        <v>211</v>
      </c>
      <c r="G181" t="s">
        <v>212</v>
      </c>
      <c r="H181" s="2" t="s">
        <v>1238</v>
      </c>
      <c r="I181" t="s">
        <v>1239</v>
      </c>
      <c r="J181" s="3">
        <v>44400</v>
      </c>
      <c r="K181" t="b">
        <v>1</v>
      </c>
      <c r="L181" s="4">
        <v>20000</v>
      </c>
      <c r="M181" s="5">
        <v>20368.76</v>
      </c>
      <c r="N181" t="str">
        <f>IF(M181&gt;L181,"Alto",IF(M181&gt;L181*0.8,"Medio","Bajo"))</f>
        <v>Alto</v>
      </c>
      <c r="O181" t="s">
        <v>24</v>
      </c>
    </row>
    <row r="182" spans="1:15" hidden="1">
      <c r="A182" t="s">
        <v>1240</v>
      </c>
      <c r="B182" t="s">
        <v>1114</v>
      </c>
      <c r="C182" t="s">
        <v>1241</v>
      </c>
      <c r="D182" t="s">
        <v>1242</v>
      </c>
      <c r="E182" s="2" t="s">
        <v>1243</v>
      </c>
      <c r="F182" t="s">
        <v>196</v>
      </c>
      <c r="G182" t="s">
        <v>196</v>
      </c>
      <c r="H182" s="2" t="s">
        <v>1244</v>
      </c>
      <c r="I182" t="s">
        <v>1245</v>
      </c>
      <c r="J182" s="3">
        <v>44568</v>
      </c>
      <c r="K182" t="b">
        <v>1</v>
      </c>
      <c r="L182" s="4">
        <v>20000</v>
      </c>
      <c r="M182" s="5">
        <v>2935.02</v>
      </c>
      <c r="N182" t="str">
        <f>IF(M182&gt;L182,"Alto",IF(M182&gt;L182*0.8,"Medio","Bajo"))</f>
        <v>Bajo</v>
      </c>
      <c r="O182" t="s">
        <v>33</v>
      </c>
    </row>
    <row r="183" spans="1:15" hidden="1">
      <c r="A183" t="s">
        <v>1246</v>
      </c>
      <c r="B183" t="s">
        <v>1247</v>
      </c>
      <c r="C183" t="s">
        <v>1248</v>
      </c>
      <c r="D183" t="s">
        <v>1249</v>
      </c>
      <c r="E183" s="2" t="s">
        <v>1250</v>
      </c>
      <c r="F183" t="s">
        <v>48</v>
      </c>
      <c r="G183" t="s">
        <v>48</v>
      </c>
      <c r="H183" s="2" t="s">
        <v>1251</v>
      </c>
      <c r="I183" t="s">
        <v>1252</v>
      </c>
      <c r="J183" s="3">
        <v>45772</v>
      </c>
      <c r="K183" t="b">
        <v>1</v>
      </c>
      <c r="L183" s="4">
        <v>20000</v>
      </c>
      <c r="M183" s="5">
        <v>12641.41</v>
      </c>
      <c r="N183" t="str">
        <f>IF(M183&gt;L183,"Alto",IF(M183&gt;L183*0.8,"Medio","Bajo"))</f>
        <v>Bajo</v>
      </c>
      <c r="O183" t="s">
        <v>33</v>
      </c>
    </row>
    <row r="184" spans="1:15" hidden="1">
      <c r="A184" t="s">
        <v>1253</v>
      </c>
      <c r="B184" t="s">
        <v>1254</v>
      </c>
      <c r="C184" t="s">
        <v>1255</v>
      </c>
      <c r="D184" t="s">
        <v>1256</v>
      </c>
      <c r="E184" s="2" t="s">
        <v>1257</v>
      </c>
      <c r="F184" t="s">
        <v>147</v>
      </c>
      <c r="G184" t="s">
        <v>147</v>
      </c>
      <c r="H184" s="2" t="s">
        <v>1258</v>
      </c>
      <c r="I184" t="s">
        <v>1259</v>
      </c>
      <c r="J184" s="3">
        <v>45162</v>
      </c>
      <c r="K184" t="b">
        <v>1</v>
      </c>
      <c r="L184" s="4">
        <v>10000</v>
      </c>
      <c r="M184" s="5">
        <v>10941.13</v>
      </c>
      <c r="N184" t="str">
        <f>IF(M184&gt;L184,"Alto",IF(M184&gt;L184*0.8,"Medio","Bajo"))</f>
        <v>Alto</v>
      </c>
      <c r="O184" t="s">
        <v>24</v>
      </c>
    </row>
    <row r="185" spans="1:15" hidden="1">
      <c r="A185" t="s">
        <v>1260</v>
      </c>
      <c r="B185" t="s">
        <v>1261</v>
      </c>
      <c r="C185" t="s">
        <v>1262</v>
      </c>
      <c r="D185" t="s">
        <v>1263</v>
      </c>
      <c r="E185" s="2" t="s">
        <v>1264</v>
      </c>
      <c r="F185" t="s">
        <v>20</v>
      </c>
      <c r="G185" t="s">
        <v>21</v>
      </c>
      <c r="H185" s="2" t="s">
        <v>1265</v>
      </c>
      <c r="I185" t="s">
        <v>1266</v>
      </c>
      <c r="J185" s="3">
        <v>43864</v>
      </c>
      <c r="K185" t="b">
        <v>0</v>
      </c>
      <c r="L185" s="4">
        <v>10000</v>
      </c>
      <c r="M185" s="5">
        <v>11108.13</v>
      </c>
      <c r="N185" t="str">
        <f>IF(M185&gt;L185,"Alto",IF(M185&gt;L185*0.8,"Medio","Bajo"))</f>
        <v>Alto</v>
      </c>
      <c r="O185" t="s">
        <v>24</v>
      </c>
    </row>
    <row r="186" spans="1:15">
      <c r="A186" t="s">
        <v>1267</v>
      </c>
      <c r="B186" t="s">
        <v>158</v>
      </c>
      <c r="C186" t="s">
        <v>1268</v>
      </c>
      <c r="D186" t="s">
        <v>1269</v>
      </c>
      <c r="E186" s="2" t="s">
        <v>1270</v>
      </c>
      <c r="F186" t="s">
        <v>39</v>
      </c>
      <c r="G186" t="s">
        <v>40</v>
      </c>
      <c r="H186" s="2" t="s">
        <v>1271</v>
      </c>
      <c r="I186" t="s">
        <v>1272</v>
      </c>
      <c r="J186" s="3">
        <v>45525</v>
      </c>
      <c r="K186" t="b">
        <v>1</v>
      </c>
      <c r="L186" s="4">
        <v>10000</v>
      </c>
      <c r="M186" s="5">
        <v>3563.96</v>
      </c>
      <c r="N186" t="str">
        <f>IF(M186&gt;L186,"Alto",IF(M186&gt;L186*0.8,"Medio","Bajo"))</f>
        <v>Bajo</v>
      </c>
      <c r="O186" t="s">
        <v>33</v>
      </c>
    </row>
    <row r="187" spans="1:15" hidden="1">
      <c r="A187" t="s">
        <v>1273</v>
      </c>
      <c r="B187" t="s">
        <v>1274</v>
      </c>
      <c r="C187" t="s">
        <v>1275</v>
      </c>
      <c r="D187" t="s">
        <v>1276</v>
      </c>
      <c r="E187" s="2" t="s">
        <v>1277</v>
      </c>
      <c r="F187" t="s">
        <v>101</v>
      </c>
      <c r="G187" t="s">
        <v>102</v>
      </c>
      <c r="H187" s="2" t="s">
        <v>1278</v>
      </c>
      <c r="I187" t="s">
        <v>1279</v>
      </c>
      <c r="J187" s="3">
        <v>43630</v>
      </c>
      <c r="K187" t="b">
        <v>1</v>
      </c>
      <c r="L187" s="4">
        <v>3000</v>
      </c>
      <c r="M187" s="5">
        <v>1458.28</v>
      </c>
      <c r="N187" t="str">
        <f>IF(M187&gt;L187,"Alto",IF(M187&gt;L187*0.8,"Medio","Bajo"))</f>
        <v>Bajo</v>
      </c>
      <c r="O187" t="s">
        <v>33</v>
      </c>
    </row>
    <row r="188" spans="1:15" hidden="1">
      <c r="A188" t="s">
        <v>1280</v>
      </c>
      <c r="B188" t="s">
        <v>1281</v>
      </c>
      <c r="C188" t="s">
        <v>1282</v>
      </c>
      <c r="D188" t="s">
        <v>471</v>
      </c>
      <c r="E188" s="2" t="s">
        <v>1283</v>
      </c>
      <c r="F188" t="s">
        <v>86</v>
      </c>
      <c r="G188" t="s">
        <v>86</v>
      </c>
      <c r="H188" s="2" t="s">
        <v>1284</v>
      </c>
      <c r="I188" t="s">
        <v>1285</v>
      </c>
      <c r="J188" s="3">
        <v>42381</v>
      </c>
      <c r="K188" t="b">
        <v>1</v>
      </c>
      <c r="L188" s="4">
        <v>10000</v>
      </c>
      <c r="M188" s="5">
        <v>4016.18</v>
      </c>
      <c r="N188" t="str">
        <f>IF(M188&gt;L188,"Alto",IF(M188&gt;L188*0.8,"Medio","Bajo"))</f>
        <v>Bajo</v>
      </c>
      <c r="O188" t="s">
        <v>33</v>
      </c>
    </row>
    <row r="189" spans="1:15" hidden="1">
      <c r="A189" t="s">
        <v>1286</v>
      </c>
      <c r="B189" t="s">
        <v>1287</v>
      </c>
      <c r="C189" t="s">
        <v>1288</v>
      </c>
      <c r="D189" t="s">
        <v>1289</v>
      </c>
      <c r="E189" s="2" t="s">
        <v>1290</v>
      </c>
      <c r="F189" t="s">
        <v>147</v>
      </c>
      <c r="G189" t="s">
        <v>147</v>
      </c>
      <c r="H189" s="2" t="s">
        <v>1291</v>
      </c>
      <c r="I189" t="s">
        <v>1292</v>
      </c>
      <c r="J189" s="3">
        <v>42690</v>
      </c>
      <c r="K189" t="b">
        <v>1</v>
      </c>
      <c r="L189" s="4">
        <v>3000</v>
      </c>
      <c r="M189" s="5">
        <v>979.71</v>
      </c>
      <c r="N189" t="str">
        <f>IF(M189&gt;L189,"Alto",IF(M189&gt;L189*0.8,"Medio","Bajo"))</f>
        <v>Bajo</v>
      </c>
      <c r="O189" t="s">
        <v>33</v>
      </c>
    </row>
    <row r="190" spans="1:15">
      <c r="A190" t="s">
        <v>1293</v>
      </c>
      <c r="B190" t="s">
        <v>1294</v>
      </c>
      <c r="C190" t="s">
        <v>1295</v>
      </c>
      <c r="D190" t="s">
        <v>1296</v>
      </c>
      <c r="E190" s="2" t="s">
        <v>1297</v>
      </c>
      <c r="F190" t="s">
        <v>30</v>
      </c>
      <c r="G190" t="s">
        <v>30</v>
      </c>
      <c r="H190" s="2" t="s">
        <v>1298</v>
      </c>
      <c r="I190" t="s">
        <v>1299</v>
      </c>
      <c r="J190" s="3">
        <v>42609</v>
      </c>
      <c r="K190" t="b">
        <v>1</v>
      </c>
      <c r="L190" s="4">
        <v>20000</v>
      </c>
      <c r="M190" s="5">
        <v>10728.81</v>
      </c>
      <c r="N190" t="str">
        <f>IF(M190&gt;L190,"Alto",IF(M190&gt;L190*0.8,"Medio","Bajo"))</f>
        <v>Bajo</v>
      </c>
      <c r="O190" t="s">
        <v>33</v>
      </c>
    </row>
    <row r="191" spans="1:15" hidden="1">
      <c r="A191" t="s">
        <v>1300</v>
      </c>
      <c r="B191" t="s">
        <v>1301</v>
      </c>
      <c r="C191" t="s">
        <v>1302</v>
      </c>
      <c r="D191" t="s">
        <v>274</v>
      </c>
      <c r="E191" s="2" t="s">
        <v>1303</v>
      </c>
      <c r="F191" t="s">
        <v>101</v>
      </c>
      <c r="G191" t="s">
        <v>102</v>
      </c>
      <c r="H191" s="2" t="s">
        <v>1304</v>
      </c>
      <c r="I191" t="s">
        <v>1305</v>
      </c>
      <c r="J191" s="3">
        <v>43481</v>
      </c>
      <c r="K191" t="b">
        <v>0</v>
      </c>
      <c r="L191" s="4">
        <v>3000</v>
      </c>
      <c r="M191" s="5">
        <v>3561.75</v>
      </c>
      <c r="N191" t="str">
        <f>IF(M191&gt;L191,"Alto",IF(M191&gt;L191*0.8,"Medio","Bajo"))</f>
        <v>Alto</v>
      </c>
      <c r="O191" t="s">
        <v>24</v>
      </c>
    </row>
    <row r="192" spans="1:15" hidden="1">
      <c r="A192" t="s">
        <v>1306</v>
      </c>
      <c r="B192" t="s">
        <v>1307</v>
      </c>
      <c r="C192" t="s">
        <v>1308</v>
      </c>
      <c r="D192" t="s">
        <v>1032</v>
      </c>
      <c r="E192" s="2" t="s">
        <v>1309</v>
      </c>
      <c r="F192" t="s">
        <v>227</v>
      </c>
      <c r="G192" t="s">
        <v>227</v>
      </c>
      <c r="H192" s="2" t="s">
        <v>1310</v>
      </c>
      <c r="I192" t="s">
        <v>1311</v>
      </c>
      <c r="J192" s="3">
        <v>42967</v>
      </c>
      <c r="K192" t="b">
        <v>1</v>
      </c>
      <c r="L192" s="4">
        <v>20000</v>
      </c>
      <c r="M192" s="5">
        <v>10120.35</v>
      </c>
      <c r="N192" t="str">
        <f>IF(M192&gt;L192,"Alto",IF(M192&gt;L192*0.8,"Medio","Bajo"))</f>
        <v>Bajo</v>
      </c>
      <c r="O192" t="s">
        <v>33</v>
      </c>
    </row>
    <row r="193" spans="1:15" hidden="1">
      <c r="A193" t="s">
        <v>1312</v>
      </c>
      <c r="B193" t="s">
        <v>1313</v>
      </c>
      <c r="C193" t="s">
        <v>1314</v>
      </c>
      <c r="D193" t="s">
        <v>1315</v>
      </c>
      <c r="E193" s="2" t="s">
        <v>1316</v>
      </c>
      <c r="F193" t="s">
        <v>86</v>
      </c>
      <c r="G193" t="s">
        <v>86</v>
      </c>
      <c r="H193" s="2" t="s">
        <v>1317</v>
      </c>
      <c r="I193" t="s">
        <v>1318</v>
      </c>
      <c r="J193" s="3">
        <v>43712</v>
      </c>
      <c r="K193" t="b">
        <v>1</v>
      </c>
      <c r="L193" s="4">
        <v>20000</v>
      </c>
      <c r="M193" s="5">
        <v>19777.09</v>
      </c>
      <c r="N193" t="str">
        <f>IF(M193&gt;L193,"Alto",IF(M193&gt;L193*0.8,"Medio","Bajo"))</f>
        <v>Medio</v>
      </c>
      <c r="O193" t="s">
        <v>33</v>
      </c>
    </row>
    <row r="194" spans="1:15">
      <c r="A194" t="s">
        <v>1319</v>
      </c>
      <c r="B194" t="s">
        <v>244</v>
      </c>
      <c r="C194" t="s">
        <v>1320</v>
      </c>
      <c r="D194" t="s">
        <v>1321</v>
      </c>
      <c r="E194" s="2" t="s">
        <v>1322</v>
      </c>
      <c r="F194" t="s">
        <v>30</v>
      </c>
      <c r="G194" t="s">
        <v>30</v>
      </c>
      <c r="H194" s="2" t="s">
        <v>1323</v>
      </c>
      <c r="I194" t="s">
        <v>1324</v>
      </c>
      <c r="J194" s="3">
        <v>44290</v>
      </c>
      <c r="K194" t="b">
        <v>0</v>
      </c>
      <c r="L194" s="4">
        <v>20000</v>
      </c>
      <c r="M194" s="5">
        <v>2087.57</v>
      </c>
      <c r="N194" t="str">
        <f>IF(M194&gt;L194,"Alto",IF(M194&gt;L194*0.8,"Medio","Bajo"))</f>
        <v>Bajo</v>
      </c>
      <c r="O194" t="s">
        <v>33</v>
      </c>
    </row>
    <row r="195" spans="1:15" hidden="1">
      <c r="A195" t="s">
        <v>1325</v>
      </c>
      <c r="B195" t="s">
        <v>819</v>
      </c>
      <c r="C195" t="s">
        <v>1326</v>
      </c>
      <c r="D195" t="s">
        <v>1327</v>
      </c>
      <c r="E195" s="2" t="s">
        <v>1328</v>
      </c>
      <c r="F195" t="s">
        <v>48</v>
      </c>
      <c r="G195" t="s">
        <v>48</v>
      </c>
      <c r="H195" s="2" t="s">
        <v>1329</v>
      </c>
      <c r="I195" t="s">
        <v>1330</v>
      </c>
      <c r="J195" s="3">
        <v>44315</v>
      </c>
      <c r="K195" t="b">
        <v>1</v>
      </c>
      <c r="L195" s="4">
        <v>5000</v>
      </c>
      <c r="M195" s="5">
        <v>2601.19</v>
      </c>
      <c r="N195" t="str">
        <f>IF(M195&gt;L195,"Alto",IF(M195&gt;L195*0.8,"Medio","Bajo"))</f>
        <v>Bajo</v>
      </c>
      <c r="O195" t="s">
        <v>33</v>
      </c>
    </row>
    <row r="196" spans="1:15">
      <c r="A196" t="s">
        <v>1331</v>
      </c>
      <c r="B196" t="s">
        <v>322</v>
      </c>
      <c r="C196" t="s">
        <v>1332</v>
      </c>
      <c r="D196" t="s">
        <v>1333</v>
      </c>
      <c r="E196" s="2" t="s">
        <v>1334</v>
      </c>
      <c r="F196" t="s">
        <v>39</v>
      </c>
      <c r="G196" t="s">
        <v>40</v>
      </c>
      <c r="H196" s="2" t="s">
        <v>1335</v>
      </c>
      <c r="I196" t="s">
        <v>1336</v>
      </c>
      <c r="J196" s="3">
        <v>44275</v>
      </c>
      <c r="K196" t="b">
        <v>0</v>
      </c>
      <c r="L196" s="4">
        <v>5000</v>
      </c>
      <c r="M196" s="5">
        <v>3474.37</v>
      </c>
      <c r="N196" t="str">
        <f>IF(M196&gt;L196,"Alto",IF(M196&gt;L196*0.8,"Medio","Bajo"))</f>
        <v>Bajo</v>
      </c>
      <c r="O196" t="s">
        <v>33</v>
      </c>
    </row>
    <row r="197" spans="1:15">
      <c r="A197" t="s">
        <v>1337</v>
      </c>
      <c r="B197" t="s">
        <v>1338</v>
      </c>
      <c r="C197" t="s">
        <v>1339</v>
      </c>
      <c r="D197" t="s">
        <v>1340</v>
      </c>
      <c r="E197" s="2" t="s">
        <v>1341</v>
      </c>
      <c r="F197" t="s">
        <v>40</v>
      </c>
      <c r="G197" t="s">
        <v>40</v>
      </c>
      <c r="H197" s="2" t="s">
        <v>1342</v>
      </c>
      <c r="I197" t="s">
        <v>1343</v>
      </c>
      <c r="J197" s="3">
        <v>42892</v>
      </c>
      <c r="K197" t="b">
        <v>1</v>
      </c>
      <c r="L197" s="4">
        <v>20000</v>
      </c>
      <c r="M197" s="5">
        <v>12328.15</v>
      </c>
      <c r="N197" t="str">
        <f>IF(M197&gt;L197,"Alto",IF(M197&gt;L197*0.8,"Medio","Bajo"))</f>
        <v>Bajo</v>
      </c>
      <c r="O197" t="s">
        <v>33</v>
      </c>
    </row>
    <row r="198" spans="1:15" hidden="1">
      <c r="A198" t="s">
        <v>1344</v>
      </c>
      <c r="B198" t="s">
        <v>1345</v>
      </c>
      <c r="C198" t="s">
        <v>1346</v>
      </c>
      <c r="D198" t="s">
        <v>137</v>
      </c>
      <c r="E198" s="2" t="s">
        <v>935</v>
      </c>
      <c r="F198" t="s">
        <v>20</v>
      </c>
      <c r="G198" t="s">
        <v>21</v>
      </c>
      <c r="H198" s="2" t="s">
        <v>1347</v>
      </c>
      <c r="I198" t="s">
        <v>1348</v>
      </c>
      <c r="J198" s="3">
        <v>43099</v>
      </c>
      <c r="K198" t="b">
        <v>1</v>
      </c>
      <c r="L198" s="4">
        <v>5000</v>
      </c>
      <c r="M198" s="5">
        <v>772.76</v>
      </c>
      <c r="N198" t="str">
        <f>IF(M198&gt;L198,"Alto",IF(M198&gt;L198*0.8,"Medio","Bajo"))</f>
        <v>Bajo</v>
      </c>
      <c r="O198" t="s">
        <v>33</v>
      </c>
    </row>
    <row r="199" spans="1:15" hidden="1">
      <c r="A199" t="s">
        <v>1349</v>
      </c>
      <c r="B199" t="s">
        <v>1350</v>
      </c>
      <c r="C199" t="s">
        <v>1351</v>
      </c>
      <c r="D199" t="s">
        <v>1352</v>
      </c>
      <c r="E199" s="2" t="s">
        <v>1353</v>
      </c>
      <c r="F199" t="s">
        <v>211</v>
      </c>
      <c r="G199" t="s">
        <v>212</v>
      </c>
      <c r="H199" s="2" t="s">
        <v>1354</v>
      </c>
      <c r="I199" t="s">
        <v>1355</v>
      </c>
      <c r="J199" s="3">
        <v>43332</v>
      </c>
      <c r="K199" t="b">
        <v>0</v>
      </c>
      <c r="L199" s="4">
        <v>10000</v>
      </c>
      <c r="M199" s="5">
        <v>8757.459999999999</v>
      </c>
      <c r="N199" t="str">
        <f>IF(M199&gt;L199,"Alto",IF(M199&gt;L199*0.8,"Medio","Bajo"))</f>
        <v>Medio</v>
      </c>
      <c r="O199" t="s">
        <v>33</v>
      </c>
    </row>
    <row r="200" spans="1:15" hidden="1">
      <c r="A200" t="s">
        <v>1356</v>
      </c>
      <c r="B200" t="s">
        <v>1357</v>
      </c>
      <c r="C200" t="s">
        <v>1358</v>
      </c>
      <c r="D200" t="s">
        <v>1359</v>
      </c>
      <c r="E200" s="2" t="s">
        <v>1360</v>
      </c>
      <c r="F200" t="s">
        <v>86</v>
      </c>
      <c r="G200" t="s">
        <v>86</v>
      </c>
      <c r="H200" s="2" t="s">
        <v>1361</v>
      </c>
      <c r="I200" t="s">
        <v>1362</v>
      </c>
      <c r="J200" s="3">
        <v>43494</v>
      </c>
      <c r="K200" t="b">
        <v>1</v>
      </c>
      <c r="L200" s="4">
        <v>3000</v>
      </c>
      <c r="M200" s="5">
        <v>565.75</v>
      </c>
      <c r="N200" t="str">
        <f>IF(M200&gt;L200,"Alto",IF(M200&gt;L200*0.8,"Medio","Bajo"))</f>
        <v>Bajo</v>
      </c>
      <c r="O200" t="s">
        <v>33</v>
      </c>
    </row>
    <row r="201" spans="1:15" hidden="1">
      <c r="A201" t="s">
        <v>1363</v>
      </c>
      <c r="B201" t="s">
        <v>911</v>
      </c>
      <c r="C201" t="s">
        <v>1364</v>
      </c>
      <c r="D201" t="s">
        <v>1365</v>
      </c>
      <c r="E201" s="2" t="s">
        <v>1366</v>
      </c>
      <c r="F201" t="s">
        <v>48</v>
      </c>
      <c r="G201" t="s">
        <v>48</v>
      </c>
      <c r="H201" s="2" t="s">
        <v>1367</v>
      </c>
      <c r="I201" t="s">
        <v>1368</v>
      </c>
      <c r="J201" s="3">
        <v>42014</v>
      </c>
      <c r="K201" t="b">
        <v>1</v>
      </c>
      <c r="L201" s="4">
        <v>5000</v>
      </c>
      <c r="M201" s="5">
        <v>5939.41</v>
      </c>
      <c r="N201" t="str">
        <f>IF(M201&gt;L201,"Alto",IF(M201&gt;L201*0.8,"Medio","Bajo"))</f>
        <v>Alto</v>
      </c>
      <c r="O201" t="s">
        <v>24</v>
      </c>
    </row>
    <row r="202" spans="1:15" hidden="1">
      <c r="A202" t="s">
        <v>1369</v>
      </c>
      <c r="B202" t="s">
        <v>1370</v>
      </c>
      <c r="C202" t="s">
        <v>1371</v>
      </c>
      <c r="D202" t="s">
        <v>1372</v>
      </c>
      <c r="E202" s="2" t="s">
        <v>1373</v>
      </c>
      <c r="F202" t="s">
        <v>139</v>
      </c>
      <c r="G202" t="s">
        <v>139</v>
      </c>
      <c r="H202" s="2" t="s">
        <v>1374</v>
      </c>
      <c r="I202" t="s">
        <v>1375</v>
      </c>
      <c r="J202" s="3">
        <v>42479</v>
      </c>
      <c r="K202" t="b">
        <v>0</v>
      </c>
      <c r="L202" s="4">
        <v>10000</v>
      </c>
      <c r="M202" s="5">
        <v>9945.559999999999</v>
      </c>
      <c r="N202" t="str">
        <f>IF(M202&gt;L202,"Alto",IF(M202&gt;L202*0.8,"Medio","Bajo"))</f>
        <v>Medio</v>
      </c>
      <c r="O202" t="s">
        <v>33</v>
      </c>
    </row>
    <row r="203" spans="1:15" hidden="1">
      <c r="A203" t="s">
        <v>1376</v>
      </c>
      <c r="B203" t="s">
        <v>143</v>
      </c>
      <c r="C203" t="s">
        <v>1377</v>
      </c>
      <c r="D203" t="s">
        <v>1378</v>
      </c>
      <c r="E203" s="2" t="s">
        <v>1379</v>
      </c>
      <c r="F203" t="s">
        <v>297</v>
      </c>
      <c r="G203" t="s">
        <v>297</v>
      </c>
      <c r="H203" s="2" t="s">
        <v>1380</v>
      </c>
      <c r="I203" t="s">
        <v>1381</v>
      </c>
      <c r="J203" s="3">
        <v>44250</v>
      </c>
      <c r="K203" t="b">
        <v>1</v>
      </c>
      <c r="L203" s="4">
        <v>20000</v>
      </c>
      <c r="M203" s="5">
        <v>2636.4</v>
      </c>
      <c r="N203" t="str">
        <f>IF(M203&gt;L203,"Alto",IF(M203&gt;L203*0.8,"Medio","Bajo"))</f>
        <v>Bajo</v>
      </c>
      <c r="O203" t="s">
        <v>33</v>
      </c>
    </row>
    <row r="204" spans="1:15" hidden="1">
      <c r="A204" t="s">
        <v>1382</v>
      </c>
      <c r="B204" t="s">
        <v>1383</v>
      </c>
      <c r="C204" t="s">
        <v>1384</v>
      </c>
      <c r="D204" t="s">
        <v>725</v>
      </c>
      <c r="E204" s="2" t="s">
        <v>1385</v>
      </c>
      <c r="F204" t="s">
        <v>110</v>
      </c>
      <c r="G204" t="s">
        <v>110</v>
      </c>
      <c r="H204" s="2" t="s">
        <v>1386</v>
      </c>
      <c r="I204" t="s">
        <v>1387</v>
      </c>
      <c r="J204" s="3">
        <v>43883</v>
      </c>
      <c r="K204" t="b">
        <v>1</v>
      </c>
      <c r="L204" s="4">
        <v>20000</v>
      </c>
      <c r="M204" s="5">
        <v>16359.43</v>
      </c>
      <c r="N204" t="str">
        <f>IF(M204&gt;L204,"Alto",IF(M204&gt;L204*0.8,"Medio","Bajo"))</f>
        <v>Medio</v>
      </c>
      <c r="O204" t="s">
        <v>33</v>
      </c>
    </row>
    <row r="205" spans="1:15" hidden="1">
      <c r="A205" t="s">
        <v>1388</v>
      </c>
      <c r="B205" t="s">
        <v>1389</v>
      </c>
      <c r="C205" t="s">
        <v>1390</v>
      </c>
      <c r="D205" t="s">
        <v>1391</v>
      </c>
      <c r="E205" s="2" t="s">
        <v>1392</v>
      </c>
      <c r="F205" t="s">
        <v>48</v>
      </c>
      <c r="G205" t="s">
        <v>48</v>
      </c>
      <c r="H205" s="2" t="s">
        <v>1393</v>
      </c>
      <c r="I205" t="s">
        <v>1394</v>
      </c>
      <c r="J205" s="3">
        <v>45012</v>
      </c>
      <c r="K205" t="b">
        <v>1</v>
      </c>
      <c r="L205" s="4">
        <v>20000</v>
      </c>
      <c r="M205" s="5">
        <v>12703.03</v>
      </c>
      <c r="N205" t="str">
        <f>IF(M205&gt;L205,"Alto",IF(M205&gt;L205*0.8,"Medio","Bajo"))</f>
        <v>Bajo</v>
      </c>
      <c r="O205" t="s">
        <v>33</v>
      </c>
    </row>
    <row r="206" spans="1:15">
      <c r="A206" t="s">
        <v>1395</v>
      </c>
      <c r="B206" t="s">
        <v>128</v>
      </c>
      <c r="C206" t="s">
        <v>1396</v>
      </c>
      <c r="D206" t="s">
        <v>1397</v>
      </c>
      <c r="E206" s="2" t="s">
        <v>1398</v>
      </c>
      <c r="F206" t="s">
        <v>39</v>
      </c>
      <c r="G206" t="s">
        <v>40</v>
      </c>
      <c r="H206" s="2" t="s">
        <v>1399</v>
      </c>
      <c r="I206" t="s">
        <v>1400</v>
      </c>
      <c r="J206" s="3">
        <v>45660</v>
      </c>
      <c r="K206" t="b">
        <v>1</v>
      </c>
      <c r="L206" s="4">
        <v>3000</v>
      </c>
      <c r="M206" s="5">
        <v>2241.31</v>
      </c>
      <c r="N206" t="str">
        <f>IF(M206&gt;L206,"Alto",IF(M206&gt;L206*0.8,"Medio","Bajo"))</f>
        <v>Bajo</v>
      </c>
      <c r="O206" t="s">
        <v>33</v>
      </c>
    </row>
    <row r="207" spans="1:15">
      <c r="A207" t="s">
        <v>1401</v>
      </c>
      <c r="B207" t="s">
        <v>770</v>
      </c>
      <c r="C207" t="s">
        <v>1402</v>
      </c>
      <c r="D207" t="s">
        <v>1403</v>
      </c>
      <c r="E207" s="2" t="s">
        <v>1404</v>
      </c>
      <c r="F207" t="s">
        <v>40</v>
      </c>
      <c r="G207" t="s">
        <v>40</v>
      </c>
      <c r="H207" s="2" t="s">
        <v>1405</v>
      </c>
      <c r="I207" t="s">
        <v>1406</v>
      </c>
      <c r="J207" s="3">
        <v>43945</v>
      </c>
      <c r="K207" t="b">
        <v>1</v>
      </c>
      <c r="L207" s="4">
        <v>5000</v>
      </c>
      <c r="M207" s="5">
        <v>2573.72</v>
      </c>
      <c r="N207" t="str">
        <f>IF(M207&gt;L207,"Alto",IF(M207&gt;L207*0.8,"Medio","Bajo"))</f>
        <v>Bajo</v>
      </c>
      <c r="O207" t="s">
        <v>33</v>
      </c>
    </row>
    <row r="208" spans="1:15" hidden="1">
      <c r="A208" t="s">
        <v>1407</v>
      </c>
      <c r="B208" t="s">
        <v>121</v>
      </c>
      <c r="C208" t="s">
        <v>1408</v>
      </c>
      <c r="D208" t="s">
        <v>1409</v>
      </c>
      <c r="E208" s="2" t="s">
        <v>1410</v>
      </c>
      <c r="F208" t="s">
        <v>63</v>
      </c>
      <c r="G208" t="s">
        <v>64</v>
      </c>
      <c r="H208" s="2" t="s">
        <v>1411</v>
      </c>
      <c r="I208" t="s">
        <v>1412</v>
      </c>
      <c r="J208" s="3">
        <v>45016</v>
      </c>
      <c r="K208" t="b">
        <v>1</v>
      </c>
      <c r="L208" s="4">
        <v>10000</v>
      </c>
      <c r="M208" s="5">
        <v>4655.17</v>
      </c>
      <c r="N208" t="str">
        <f>IF(M208&gt;L208,"Alto",IF(M208&gt;L208*0.8,"Medio","Bajo"))</f>
        <v>Bajo</v>
      </c>
      <c r="O208" t="s">
        <v>33</v>
      </c>
    </row>
    <row r="209" spans="1:15" hidden="1">
      <c r="A209" t="s">
        <v>1413</v>
      </c>
      <c r="B209" t="s">
        <v>1414</v>
      </c>
      <c r="C209" t="s">
        <v>1415</v>
      </c>
      <c r="D209" t="s">
        <v>1416</v>
      </c>
      <c r="E209" s="2" t="s">
        <v>1417</v>
      </c>
      <c r="F209" t="s">
        <v>86</v>
      </c>
      <c r="G209" t="s">
        <v>86</v>
      </c>
      <c r="H209" s="2" t="s">
        <v>1418</v>
      </c>
      <c r="I209" t="s">
        <v>1419</v>
      </c>
      <c r="J209" s="3">
        <v>43294</v>
      </c>
      <c r="K209" t="b">
        <v>1</v>
      </c>
      <c r="L209" s="4">
        <v>5000</v>
      </c>
      <c r="M209" s="5">
        <v>5724.49</v>
      </c>
      <c r="N209" t="str">
        <f>IF(M209&gt;L209,"Alto",IF(M209&gt;L209*0.8,"Medio","Bajo"))</f>
        <v>Alto</v>
      </c>
      <c r="O209" t="s">
        <v>24</v>
      </c>
    </row>
    <row r="210" spans="1:15">
      <c r="A210" t="s">
        <v>1420</v>
      </c>
      <c r="B210" t="s">
        <v>990</v>
      </c>
      <c r="C210" t="s">
        <v>1421</v>
      </c>
      <c r="D210" t="s">
        <v>1422</v>
      </c>
      <c r="E210" s="2" t="s">
        <v>1423</v>
      </c>
      <c r="F210" t="s">
        <v>30</v>
      </c>
      <c r="G210" t="s">
        <v>30</v>
      </c>
      <c r="H210" s="2" t="s">
        <v>1424</v>
      </c>
      <c r="I210" t="s">
        <v>1425</v>
      </c>
      <c r="J210" s="3">
        <v>42365</v>
      </c>
      <c r="K210" t="b">
        <v>1</v>
      </c>
      <c r="L210" s="4">
        <v>3000</v>
      </c>
      <c r="M210" s="5">
        <v>932.23</v>
      </c>
      <c r="N210" t="str">
        <f>IF(M210&gt;L210,"Alto",IF(M210&gt;L210*0.8,"Medio","Bajo"))</f>
        <v>Bajo</v>
      </c>
      <c r="O210" t="s">
        <v>33</v>
      </c>
    </row>
    <row r="211" spans="1:15" hidden="1">
      <c r="A211" t="s">
        <v>1426</v>
      </c>
      <c r="B211" t="s">
        <v>791</v>
      </c>
      <c r="C211" t="s">
        <v>1427</v>
      </c>
      <c r="D211" t="s">
        <v>1428</v>
      </c>
      <c r="E211" s="2" t="s">
        <v>1429</v>
      </c>
      <c r="F211" t="s">
        <v>139</v>
      </c>
      <c r="G211" t="s">
        <v>139</v>
      </c>
      <c r="H211" s="2" t="s">
        <v>1430</v>
      </c>
      <c r="I211" t="s">
        <v>1431</v>
      </c>
      <c r="J211" s="3">
        <v>44168</v>
      </c>
      <c r="K211" t="b">
        <v>1</v>
      </c>
      <c r="L211" s="4">
        <v>3000</v>
      </c>
      <c r="M211" s="5">
        <v>508.34</v>
      </c>
      <c r="N211" t="str">
        <f>IF(M211&gt;L211,"Alto",IF(M211&gt;L211*0.8,"Medio","Bajo"))</f>
        <v>Bajo</v>
      </c>
      <c r="O211" t="s">
        <v>33</v>
      </c>
    </row>
    <row r="212" spans="1:15" hidden="1">
      <c r="A212" t="s">
        <v>1432</v>
      </c>
      <c r="B212" t="s">
        <v>1433</v>
      </c>
      <c r="C212" t="s">
        <v>1434</v>
      </c>
      <c r="D212" t="s">
        <v>1435</v>
      </c>
      <c r="E212" s="2" t="s">
        <v>1436</v>
      </c>
      <c r="F212" t="s">
        <v>20</v>
      </c>
      <c r="G212" t="s">
        <v>21</v>
      </c>
      <c r="H212" s="2" t="s">
        <v>1437</v>
      </c>
      <c r="I212" t="s">
        <v>1438</v>
      </c>
      <c r="J212" s="3">
        <v>43147</v>
      </c>
      <c r="K212" t="b">
        <v>1</v>
      </c>
      <c r="L212" s="4">
        <v>3000</v>
      </c>
      <c r="M212" s="5">
        <v>3567.39</v>
      </c>
      <c r="N212" t="str">
        <f>IF(M212&gt;L212,"Alto",IF(M212&gt;L212*0.8,"Medio","Bajo"))</f>
        <v>Alto</v>
      </c>
      <c r="O212" t="s">
        <v>24</v>
      </c>
    </row>
    <row r="213" spans="1:15" hidden="1">
      <c r="A213" t="s">
        <v>1439</v>
      </c>
      <c r="B213" t="s">
        <v>1440</v>
      </c>
      <c r="C213" t="s">
        <v>1441</v>
      </c>
      <c r="D213" t="s">
        <v>239</v>
      </c>
      <c r="E213" s="2" t="s">
        <v>1442</v>
      </c>
      <c r="F213" t="s">
        <v>110</v>
      </c>
      <c r="G213" t="s">
        <v>110</v>
      </c>
      <c r="H213" s="2" t="s">
        <v>1443</v>
      </c>
      <c r="I213" t="s">
        <v>1444</v>
      </c>
      <c r="J213" s="3">
        <v>44093</v>
      </c>
      <c r="K213" t="b">
        <v>0</v>
      </c>
      <c r="L213" s="4">
        <v>3000</v>
      </c>
      <c r="M213" s="5">
        <v>2145.81</v>
      </c>
      <c r="N213" t="str">
        <f>IF(M213&gt;L213,"Alto",IF(M213&gt;L213*0.8,"Medio","Bajo"))</f>
        <v>Bajo</v>
      </c>
      <c r="O213" t="s">
        <v>33</v>
      </c>
    </row>
    <row r="214" spans="1:15" hidden="1">
      <c r="A214" t="s">
        <v>1445</v>
      </c>
      <c r="B214" t="s">
        <v>496</v>
      </c>
      <c r="C214" t="s">
        <v>1446</v>
      </c>
      <c r="D214" t="s">
        <v>1046</v>
      </c>
      <c r="E214" s="2" t="s">
        <v>1447</v>
      </c>
      <c r="F214" t="s">
        <v>147</v>
      </c>
      <c r="G214" t="s">
        <v>147</v>
      </c>
      <c r="H214" s="2" t="s">
        <v>1448</v>
      </c>
      <c r="I214" t="s">
        <v>1449</v>
      </c>
      <c r="J214" s="3">
        <v>42965</v>
      </c>
      <c r="K214" t="b">
        <v>1</v>
      </c>
      <c r="L214" s="4">
        <v>3000</v>
      </c>
      <c r="M214" s="5">
        <v>731.6900000000001</v>
      </c>
      <c r="N214" t="str">
        <f>IF(M214&gt;L214,"Alto",IF(M214&gt;L214*0.8,"Medio","Bajo"))</f>
        <v>Bajo</v>
      </c>
      <c r="O214" t="s">
        <v>33</v>
      </c>
    </row>
    <row r="215" spans="1:15" hidden="1">
      <c r="A215" t="s">
        <v>1450</v>
      </c>
      <c r="B215" t="s">
        <v>812</v>
      </c>
      <c r="C215" t="s">
        <v>1451</v>
      </c>
      <c r="D215" t="s">
        <v>1452</v>
      </c>
      <c r="E215" s="2" t="s">
        <v>1453</v>
      </c>
      <c r="F215" t="s">
        <v>211</v>
      </c>
      <c r="G215" t="s">
        <v>212</v>
      </c>
      <c r="H215" s="2" t="s">
        <v>1454</v>
      </c>
      <c r="I215" t="s">
        <v>1455</v>
      </c>
      <c r="J215" s="3">
        <v>42110</v>
      </c>
      <c r="K215" t="b">
        <v>1</v>
      </c>
      <c r="L215" s="4">
        <v>10000</v>
      </c>
      <c r="M215" s="5">
        <v>2853.73</v>
      </c>
      <c r="N215" t="str">
        <f>IF(M215&gt;L215,"Alto",IF(M215&gt;L215*0.8,"Medio","Bajo"))</f>
        <v>Bajo</v>
      </c>
      <c r="O215" t="s">
        <v>33</v>
      </c>
    </row>
    <row r="216" spans="1:15" hidden="1">
      <c r="A216" t="s">
        <v>1456</v>
      </c>
      <c r="B216" t="s">
        <v>1433</v>
      </c>
      <c r="C216" t="s">
        <v>1457</v>
      </c>
      <c r="D216" t="s">
        <v>1458</v>
      </c>
      <c r="E216" s="2" t="s">
        <v>1316</v>
      </c>
      <c r="F216" t="s">
        <v>86</v>
      </c>
      <c r="G216" t="s">
        <v>86</v>
      </c>
      <c r="H216" s="2" t="s">
        <v>1459</v>
      </c>
      <c r="I216" t="s">
        <v>1460</v>
      </c>
      <c r="J216" s="3">
        <v>45362</v>
      </c>
      <c r="K216" t="b">
        <v>1</v>
      </c>
      <c r="L216" s="4">
        <v>20000</v>
      </c>
      <c r="M216" s="5">
        <v>593.98</v>
      </c>
      <c r="N216" t="str">
        <f>IF(M216&gt;L216,"Alto",IF(M216&gt;L216*0.8,"Medio","Bajo"))</f>
        <v>Bajo</v>
      </c>
      <c r="O216" t="s">
        <v>33</v>
      </c>
    </row>
    <row r="217" spans="1:15" hidden="1">
      <c r="A217" t="s">
        <v>1461</v>
      </c>
      <c r="B217" t="s">
        <v>336</v>
      </c>
      <c r="C217" t="s">
        <v>1462</v>
      </c>
      <c r="D217" t="s">
        <v>1463</v>
      </c>
      <c r="E217" s="2" t="s">
        <v>1464</v>
      </c>
      <c r="F217" t="s">
        <v>297</v>
      </c>
      <c r="G217" t="s">
        <v>297</v>
      </c>
      <c r="H217" s="2" t="s">
        <v>1465</v>
      </c>
      <c r="I217" t="s">
        <v>1466</v>
      </c>
      <c r="J217" s="3">
        <v>43354</v>
      </c>
      <c r="K217" t="b">
        <v>1</v>
      </c>
      <c r="L217" s="4">
        <v>5000</v>
      </c>
      <c r="M217" s="5">
        <v>513.5</v>
      </c>
      <c r="N217" t="str">
        <f>IF(M217&gt;L217,"Alto",IF(M217&gt;L217*0.8,"Medio","Bajo"))</f>
        <v>Bajo</v>
      </c>
      <c r="O217" t="s">
        <v>33</v>
      </c>
    </row>
    <row r="218" spans="1:15" hidden="1">
      <c r="A218" t="s">
        <v>1467</v>
      </c>
      <c r="B218" t="s">
        <v>1468</v>
      </c>
      <c r="C218" t="s">
        <v>1469</v>
      </c>
      <c r="D218" t="s">
        <v>1470</v>
      </c>
      <c r="E218" s="2" t="s">
        <v>1471</v>
      </c>
      <c r="F218" t="s">
        <v>196</v>
      </c>
      <c r="G218" t="s">
        <v>196</v>
      </c>
      <c r="H218" s="2" t="s">
        <v>1472</v>
      </c>
      <c r="I218" t="s">
        <v>1473</v>
      </c>
      <c r="J218" s="3">
        <v>44673</v>
      </c>
      <c r="K218" t="b">
        <v>1</v>
      </c>
      <c r="L218" s="4">
        <v>20000</v>
      </c>
      <c r="M218" s="5">
        <v>21739.1</v>
      </c>
      <c r="N218" t="str">
        <f>IF(M218&gt;L218,"Alto",IF(M218&gt;L218*0.8,"Medio","Bajo"))</f>
        <v>Alto</v>
      </c>
      <c r="O218" t="s">
        <v>24</v>
      </c>
    </row>
    <row r="219" spans="1:15" hidden="1">
      <c r="A219" t="s">
        <v>1474</v>
      </c>
      <c r="B219" t="s">
        <v>251</v>
      </c>
      <c r="C219" t="s">
        <v>1475</v>
      </c>
      <c r="D219" t="s">
        <v>1476</v>
      </c>
      <c r="E219" s="2" t="s">
        <v>1477</v>
      </c>
      <c r="F219" t="s">
        <v>227</v>
      </c>
      <c r="G219" t="s">
        <v>227</v>
      </c>
      <c r="H219" s="2" t="s">
        <v>1478</v>
      </c>
      <c r="I219" t="s">
        <v>1479</v>
      </c>
      <c r="J219" s="3">
        <v>44584</v>
      </c>
      <c r="K219" t="b">
        <v>1</v>
      </c>
      <c r="L219" s="4">
        <v>20000</v>
      </c>
      <c r="M219" s="5">
        <v>18925.29</v>
      </c>
      <c r="N219" t="str">
        <f>IF(M219&gt;L219,"Alto",IF(M219&gt;L219*0.8,"Medio","Bajo"))</f>
        <v>Medio</v>
      </c>
      <c r="O219" t="s">
        <v>33</v>
      </c>
    </row>
    <row r="220" spans="1:15">
      <c r="A220" t="s">
        <v>1480</v>
      </c>
      <c r="B220" t="s">
        <v>1481</v>
      </c>
      <c r="C220" t="s">
        <v>1482</v>
      </c>
      <c r="D220" t="s">
        <v>1483</v>
      </c>
      <c r="E220" s="2" t="s">
        <v>1484</v>
      </c>
      <c r="F220" t="s">
        <v>40</v>
      </c>
      <c r="G220" t="s">
        <v>40</v>
      </c>
      <c r="H220" s="2" t="s">
        <v>1485</v>
      </c>
      <c r="I220" t="s">
        <v>1486</v>
      </c>
      <c r="J220" s="3">
        <v>44790</v>
      </c>
      <c r="K220" t="b">
        <v>1</v>
      </c>
      <c r="L220" s="4">
        <v>3000</v>
      </c>
      <c r="M220" s="5">
        <v>2718.75</v>
      </c>
      <c r="N220" t="str">
        <f>IF(M220&gt;L220,"Alto",IF(M220&gt;L220*0.8,"Medio","Bajo"))</f>
        <v>Medio</v>
      </c>
      <c r="O220" t="s">
        <v>33</v>
      </c>
    </row>
    <row r="221" spans="1:15" hidden="1">
      <c r="A221" t="s">
        <v>1487</v>
      </c>
      <c r="B221" t="s">
        <v>1488</v>
      </c>
      <c r="C221" t="s">
        <v>1489</v>
      </c>
      <c r="D221" t="s">
        <v>1490</v>
      </c>
      <c r="E221" s="2" t="s">
        <v>1491</v>
      </c>
      <c r="F221" t="s">
        <v>297</v>
      </c>
      <c r="G221" t="s">
        <v>297</v>
      </c>
      <c r="H221" s="2" t="s">
        <v>1492</v>
      </c>
      <c r="I221" t="s">
        <v>1493</v>
      </c>
      <c r="J221" s="3">
        <v>43086</v>
      </c>
      <c r="K221" t="b">
        <v>1</v>
      </c>
      <c r="L221" s="4">
        <v>10000</v>
      </c>
      <c r="M221" s="5">
        <v>8430.08</v>
      </c>
      <c r="N221" t="str">
        <f>IF(M221&gt;L221,"Alto",IF(M221&gt;L221*0.8,"Medio","Bajo"))</f>
        <v>Medio</v>
      </c>
      <c r="O221" t="s">
        <v>33</v>
      </c>
    </row>
    <row r="222" spans="1:15" hidden="1">
      <c r="A222" t="s">
        <v>1494</v>
      </c>
      <c r="B222" t="s">
        <v>1495</v>
      </c>
      <c r="C222" t="s">
        <v>1496</v>
      </c>
      <c r="D222" t="s">
        <v>1497</v>
      </c>
      <c r="E222" s="2" t="s">
        <v>1498</v>
      </c>
      <c r="F222" t="s">
        <v>147</v>
      </c>
      <c r="G222" t="s">
        <v>147</v>
      </c>
      <c r="H222" s="2" t="s">
        <v>1499</v>
      </c>
      <c r="I222" t="s">
        <v>1500</v>
      </c>
      <c r="J222" s="3">
        <v>44990</v>
      </c>
      <c r="K222" t="b">
        <v>0</v>
      </c>
      <c r="L222" s="4">
        <v>10000</v>
      </c>
      <c r="M222" s="5">
        <v>5879.47</v>
      </c>
      <c r="N222" t="str">
        <f>IF(M222&gt;L222,"Alto",IF(M222&gt;L222*0.8,"Medio","Bajo"))</f>
        <v>Bajo</v>
      </c>
      <c r="O222" t="s">
        <v>33</v>
      </c>
    </row>
    <row r="223" spans="1:15" hidden="1">
      <c r="A223" t="s">
        <v>1501</v>
      </c>
      <c r="B223" t="s">
        <v>1502</v>
      </c>
      <c r="C223" t="s">
        <v>1503</v>
      </c>
      <c r="D223" t="s">
        <v>1504</v>
      </c>
      <c r="E223" s="2" t="s">
        <v>1505</v>
      </c>
      <c r="F223" t="s">
        <v>48</v>
      </c>
      <c r="G223" t="s">
        <v>48</v>
      </c>
      <c r="H223" s="2" t="s">
        <v>1506</v>
      </c>
      <c r="I223" t="s">
        <v>1507</v>
      </c>
      <c r="J223" s="3">
        <v>45373</v>
      </c>
      <c r="K223" t="b">
        <v>1</v>
      </c>
      <c r="L223" s="4">
        <v>5000</v>
      </c>
      <c r="M223" s="5">
        <v>3247.82</v>
      </c>
      <c r="N223" t="str">
        <f>IF(M223&gt;L223,"Alto",IF(M223&gt;L223*0.8,"Medio","Bajo"))</f>
        <v>Bajo</v>
      </c>
      <c r="O223" t="s">
        <v>33</v>
      </c>
    </row>
    <row r="224" spans="1:15" hidden="1">
      <c r="A224" t="s">
        <v>1508</v>
      </c>
      <c r="B224" t="s">
        <v>1509</v>
      </c>
      <c r="C224" t="s">
        <v>1510</v>
      </c>
      <c r="D224" t="s">
        <v>1511</v>
      </c>
      <c r="E224" s="2" t="s">
        <v>1512</v>
      </c>
      <c r="F224" t="s">
        <v>297</v>
      </c>
      <c r="G224" t="s">
        <v>297</v>
      </c>
      <c r="H224" s="2" t="s">
        <v>1513</v>
      </c>
      <c r="I224" t="s">
        <v>1514</v>
      </c>
      <c r="J224" s="3">
        <v>42692</v>
      </c>
      <c r="K224" t="b">
        <v>0</v>
      </c>
      <c r="L224" s="4">
        <v>10000</v>
      </c>
      <c r="M224" s="5">
        <v>10328.33</v>
      </c>
      <c r="N224" t="str">
        <f>IF(M224&gt;L224,"Alto",IF(M224&gt;L224*0.8,"Medio","Bajo"))</f>
        <v>Alto</v>
      </c>
      <c r="O224" t="s">
        <v>24</v>
      </c>
    </row>
    <row r="225" spans="1:15" hidden="1">
      <c r="A225" t="s">
        <v>1515</v>
      </c>
      <c r="B225" t="s">
        <v>689</v>
      </c>
      <c r="C225" t="s">
        <v>1516</v>
      </c>
      <c r="D225" t="s">
        <v>1517</v>
      </c>
      <c r="E225" s="2" t="s">
        <v>1518</v>
      </c>
      <c r="F225" t="s">
        <v>63</v>
      </c>
      <c r="G225" t="s">
        <v>64</v>
      </c>
      <c r="H225" s="2" t="s">
        <v>1519</v>
      </c>
      <c r="I225" t="s">
        <v>1520</v>
      </c>
      <c r="J225" s="3">
        <v>44039</v>
      </c>
      <c r="K225" t="b">
        <v>1</v>
      </c>
      <c r="L225" s="4">
        <v>10000</v>
      </c>
      <c r="M225" s="5">
        <v>11199.75</v>
      </c>
      <c r="N225" t="str">
        <f>IF(M225&gt;L225,"Alto",IF(M225&gt;L225*0.8,"Medio","Bajo"))</f>
        <v>Alto</v>
      </c>
      <c r="O225" t="s">
        <v>24</v>
      </c>
    </row>
    <row r="226" spans="1:15">
      <c r="A226" t="s">
        <v>1521</v>
      </c>
      <c r="B226" t="s">
        <v>329</v>
      </c>
      <c r="C226" t="s">
        <v>1522</v>
      </c>
      <c r="D226" t="s">
        <v>1523</v>
      </c>
      <c r="E226" s="2" t="s">
        <v>1524</v>
      </c>
      <c r="F226" t="s">
        <v>39</v>
      </c>
      <c r="G226" t="s">
        <v>40</v>
      </c>
      <c r="H226" s="2" t="s">
        <v>1525</v>
      </c>
      <c r="I226" t="s">
        <v>1526</v>
      </c>
      <c r="J226" s="3">
        <v>45705</v>
      </c>
      <c r="K226" t="b">
        <v>0</v>
      </c>
      <c r="L226" s="4">
        <v>3000</v>
      </c>
      <c r="M226" s="5">
        <v>2935.81</v>
      </c>
      <c r="N226" t="str">
        <f>IF(M226&gt;L226,"Alto",IF(M226&gt;L226*0.8,"Medio","Bajo"))</f>
        <v>Medio</v>
      </c>
      <c r="O226" t="s">
        <v>33</v>
      </c>
    </row>
    <row r="227" spans="1:15" hidden="1">
      <c r="A227" t="s">
        <v>1527</v>
      </c>
      <c r="B227" t="s">
        <v>456</v>
      </c>
      <c r="C227" t="s">
        <v>1528</v>
      </c>
      <c r="D227" t="s">
        <v>281</v>
      </c>
      <c r="E227" s="2" t="s">
        <v>1529</v>
      </c>
      <c r="F227" t="s">
        <v>110</v>
      </c>
      <c r="G227" t="s">
        <v>110</v>
      </c>
      <c r="H227" s="2" t="s">
        <v>1530</v>
      </c>
      <c r="I227" t="s">
        <v>1531</v>
      </c>
      <c r="J227" s="3">
        <v>44033</v>
      </c>
      <c r="K227" t="b">
        <v>1</v>
      </c>
      <c r="L227" s="4">
        <v>3000</v>
      </c>
      <c r="M227" s="5">
        <v>3583.37</v>
      </c>
      <c r="N227" t="str">
        <f>IF(M227&gt;L227,"Alto",IF(M227&gt;L227*0.8,"Medio","Bajo"))</f>
        <v>Alto</v>
      </c>
      <c r="O227" t="s">
        <v>24</v>
      </c>
    </row>
    <row r="228" spans="1:15" hidden="1">
      <c r="A228" t="s">
        <v>1532</v>
      </c>
      <c r="B228" t="s">
        <v>1071</v>
      </c>
      <c r="C228" t="s">
        <v>1533</v>
      </c>
      <c r="D228" t="s">
        <v>1116</v>
      </c>
      <c r="E228" s="2" t="s">
        <v>1534</v>
      </c>
      <c r="F228" t="s">
        <v>139</v>
      </c>
      <c r="G228" t="s">
        <v>139</v>
      </c>
      <c r="H228" s="2" t="s">
        <v>1535</v>
      </c>
      <c r="I228" t="s">
        <v>1536</v>
      </c>
      <c r="J228" s="3">
        <v>42460</v>
      </c>
      <c r="K228" t="b">
        <v>1</v>
      </c>
      <c r="L228" s="4">
        <v>5000</v>
      </c>
      <c r="M228" s="5">
        <v>1168.25</v>
      </c>
      <c r="N228" t="str">
        <f>IF(M228&gt;L228,"Alto",IF(M228&gt;L228*0.8,"Medio","Bajo"))</f>
        <v>Bajo</v>
      </c>
      <c r="O228" t="s">
        <v>33</v>
      </c>
    </row>
    <row r="229" spans="1:15" hidden="1">
      <c r="A229" t="s">
        <v>1537</v>
      </c>
      <c r="B229" t="s">
        <v>932</v>
      </c>
      <c r="C229" t="s">
        <v>1538</v>
      </c>
      <c r="D229" t="s">
        <v>1539</v>
      </c>
      <c r="E229" s="2" t="s">
        <v>1540</v>
      </c>
      <c r="F229" t="s">
        <v>139</v>
      </c>
      <c r="G229" t="s">
        <v>139</v>
      </c>
      <c r="H229" s="2" t="s">
        <v>1541</v>
      </c>
      <c r="I229" t="s">
        <v>1542</v>
      </c>
      <c r="J229" s="3">
        <v>44912</v>
      </c>
      <c r="K229" t="b">
        <v>0</v>
      </c>
      <c r="L229" s="4">
        <v>5000</v>
      </c>
      <c r="M229" s="5">
        <v>4125.19</v>
      </c>
      <c r="N229" t="str">
        <f>IF(M229&gt;L229,"Alto",IF(M229&gt;L229*0.8,"Medio","Bajo"))</f>
        <v>Medio</v>
      </c>
      <c r="O229" t="s">
        <v>33</v>
      </c>
    </row>
    <row r="230" spans="1:15" hidden="1">
      <c r="A230" t="s">
        <v>1543</v>
      </c>
      <c r="B230" t="s">
        <v>106</v>
      </c>
      <c r="C230" t="s">
        <v>1544</v>
      </c>
      <c r="D230" t="s">
        <v>1545</v>
      </c>
      <c r="E230" s="2" t="s">
        <v>1546</v>
      </c>
      <c r="F230" t="s">
        <v>110</v>
      </c>
      <c r="G230" t="s">
        <v>110</v>
      </c>
      <c r="H230" s="2" t="s">
        <v>1547</v>
      </c>
      <c r="I230" t="s">
        <v>1548</v>
      </c>
      <c r="J230" s="3">
        <v>44406</v>
      </c>
      <c r="K230" t="b">
        <v>1</v>
      </c>
      <c r="L230" s="4">
        <v>5000</v>
      </c>
      <c r="M230" s="5">
        <v>805.4</v>
      </c>
      <c r="N230" t="str">
        <f>IF(M230&gt;L230,"Alto",IF(M230&gt;L230*0.8,"Medio","Bajo"))</f>
        <v>Bajo</v>
      </c>
      <c r="O230" t="s">
        <v>33</v>
      </c>
    </row>
    <row r="231" spans="1:15" hidden="1">
      <c r="A231" t="s">
        <v>1549</v>
      </c>
      <c r="B231" t="s">
        <v>1550</v>
      </c>
      <c r="C231" t="s">
        <v>1551</v>
      </c>
      <c r="D231" t="s">
        <v>1552</v>
      </c>
      <c r="E231" s="2" t="s">
        <v>1553</v>
      </c>
      <c r="F231" t="s">
        <v>196</v>
      </c>
      <c r="G231" t="s">
        <v>196</v>
      </c>
      <c r="H231" s="2" t="s">
        <v>1554</v>
      </c>
      <c r="I231" t="s">
        <v>1555</v>
      </c>
      <c r="J231" s="3">
        <v>43875</v>
      </c>
      <c r="K231" t="b">
        <v>1</v>
      </c>
      <c r="L231" s="4">
        <v>20000</v>
      </c>
      <c r="M231" s="5">
        <v>1142.9</v>
      </c>
      <c r="N231" t="str">
        <f>IF(M231&gt;L231,"Alto",IF(M231&gt;L231*0.8,"Medio","Bajo"))</f>
        <v>Bajo</v>
      </c>
      <c r="O231" t="s">
        <v>33</v>
      </c>
    </row>
    <row r="232" spans="1:15" hidden="1">
      <c r="A232" t="s">
        <v>1556</v>
      </c>
      <c r="B232" t="s">
        <v>1071</v>
      </c>
      <c r="C232" t="s">
        <v>1557</v>
      </c>
      <c r="D232" t="s">
        <v>1558</v>
      </c>
      <c r="E232" s="2" t="s">
        <v>1559</v>
      </c>
      <c r="F232" t="s">
        <v>297</v>
      </c>
      <c r="G232" t="s">
        <v>297</v>
      </c>
      <c r="H232" s="2" t="s">
        <v>1560</v>
      </c>
      <c r="I232" t="s">
        <v>1561</v>
      </c>
      <c r="J232" s="3">
        <v>42881</v>
      </c>
      <c r="K232" t="b">
        <v>1</v>
      </c>
      <c r="L232" s="4">
        <v>20000</v>
      </c>
      <c r="M232" s="5">
        <v>18515.27</v>
      </c>
      <c r="N232" t="str">
        <f>IF(M232&gt;L232,"Alto",IF(M232&gt;L232*0.8,"Medio","Bajo"))</f>
        <v>Medio</v>
      </c>
      <c r="O232" t="s">
        <v>33</v>
      </c>
    </row>
    <row r="233" spans="1:15" hidden="1">
      <c r="A233" t="s">
        <v>1562</v>
      </c>
      <c r="B233" t="s">
        <v>1509</v>
      </c>
      <c r="C233" t="s">
        <v>1563</v>
      </c>
      <c r="D233" t="s">
        <v>1564</v>
      </c>
      <c r="E233" s="2" t="s">
        <v>1565</v>
      </c>
      <c r="F233" t="s">
        <v>63</v>
      </c>
      <c r="G233" t="s">
        <v>64</v>
      </c>
      <c r="H233" s="2" t="s">
        <v>1566</v>
      </c>
      <c r="I233" t="s">
        <v>1567</v>
      </c>
      <c r="J233" s="3">
        <v>44915</v>
      </c>
      <c r="K233" t="b">
        <v>1</v>
      </c>
      <c r="L233" s="4">
        <v>10000</v>
      </c>
      <c r="M233" s="5">
        <v>9709.280000000001</v>
      </c>
      <c r="N233" t="str">
        <f>IF(M233&gt;L233,"Alto",IF(M233&gt;L233*0.8,"Medio","Bajo"))</f>
        <v>Medio</v>
      </c>
      <c r="O233" t="s">
        <v>33</v>
      </c>
    </row>
    <row r="234" spans="1:15" hidden="1">
      <c r="A234" t="s">
        <v>1568</v>
      </c>
      <c r="B234" t="s">
        <v>1569</v>
      </c>
      <c r="C234" t="s">
        <v>1570</v>
      </c>
      <c r="D234" t="s">
        <v>380</v>
      </c>
      <c r="E234" s="2" t="s">
        <v>613</v>
      </c>
      <c r="F234" t="s">
        <v>297</v>
      </c>
      <c r="G234" t="s">
        <v>297</v>
      </c>
      <c r="H234" s="2" t="s">
        <v>1571</v>
      </c>
      <c r="I234" t="s">
        <v>1572</v>
      </c>
      <c r="J234" s="3">
        <v>42424</v>
      </c>
      <c r="K234" t="b">
        <v>1</v>
      </c>
      <c r="L234" s="4">
        <v>3000</v>
      </c>
      <c r="M234" s="5">
        <v>3290.42</v>
      </c>
      <c r="N234" t="str">
        <f>IF(M234&gt;L234,"Alto",IF(M234&gt;L234*0.8,"Medio","Bajo"))</f>
        <v>Alto</v>
      </c>
      <c r="O234" t="s">
        <v>24</v>
      </c>
    </row>
    <row r="235" spans="1:15" hidden="1">
      <c r="A235" t="s">
        <v>1573</v>
      </c>
      <c r="B235" t="s">
        <v>1023</v>
      </c>
      <c r="C235" t="s">
        <v>1574</v>
      </c>
      <c r="D235" t="s">
        <v>1575</v>
      </c>
      <c r="E235" s="2" t="s">
        <v>1576</v>
      </c>
      <c r="F235" t="s">
        <v>48</v>
      </c>
      <c r="G235" t="s">
        <v>48</v>
      </c>
      <c r="H235" s="2" t="s">
        <v>1577</v>
      </c>
      <c r="I235" t="s">
        <v>1578</v>
      </c>
      <c r="J235" s="3">
        <v>42898</v>
      </c>
      <c r="K235" t="b">
        <v>1</v>
      </c>
      <c r="L235" s="4">
        <v>20000</v>
      </c>
      <c r="M235" s="5">
        <v>17264.82</v>
      </c>
      <c r="N235" t="str">
        <f>IF(M235&gt;L235,"Alto",IF(M235&gt;L235*0.8,"Medio","Bajo"))</f>
        <v>Medio</v>
      </c>
      <c r="O235" t="s">
        <v>33</v>
      </c>
    </row>
    <row r="236" spans="1:15" hidden="1">
      <c r="A236" t="s">
        <v>1579</v>
      </c>
      <c r="B236" t="s">
        <v>1580</v>
      </c>
      <c r="C236" t="s">
        <v>1581</v>
      </c>
      <c r="D236" t="s">
        <v>1207</v>
      </c>
      <c r="E236" s="2" t="s">
        <v>1582</v>
      </c>
      <c r="F236" t="s">
        <v>196</v>
      </c>
      <c r="G236" t="s">
        <v>196</v>
      </c>
      <c r="H236" s="2" t="s">
        <v>1583</v>
      </c>
      <c r="I236" t="s">
        <v>1584</v>
      </c>
      <c r="J236" s="3">
        <v>45882</v>
      </c>
      <c r="K236" t="b">
        <v>1</v>
      </c>
      <c r="L236" s="4">
        <v>3000</v>
      </c>
      <c r="M236" s="5">
        <v>3101.05</v>
      </c>
      <c r="N236" t="str">
        <f>IF(M236&gt;L236,"Alto",IF(M236&gt;L236*0.8,"Medio","Bajo"))</f>
        <v>Alto</v>
      </c>
      <c r="O236" t="s">
        <v>24</v>
      </c>
    </row>
    <row r="237" spans="1:15" hidden="1">
      <c r="A237" t="s">
        <v>1585</v>
      </c>
      <c r="B237" t="s">
        <v>663</v>
      </c>
      <c r="C237" t="s">
        <v>1586</v>
      </c>
      <c r="D237" t="s">
        <v>1587</v>
      </c>
      <c r="E237" s="2" t="s">
        <v>1588</v>
      </c>
      <c r="F237" t="s">
        <v>63</v>
      </c>
      <c r="G237" t="s">
        <v>64</v>
      </c>
      <c r="H237" s="2" t="s">
        <v>1589</v>
      </c>
      <c r="I237" t="s">
        <v>1590</v>
      </c>
      <c r="J237" s="3">
        <v>44431</v>
      </c>
      <c r="K237" t="b">
        <v>1</v>
      </c>
      <c r="L237" s="4">
        <v>3000</v>
      </c>
      <c r="M237" s="5">
        <v>2281.8</v>
      </c>
      <c r="N237" t="str">
        <f>IF(M237&gt;L237,"Alto",IF(M237&gt;L237*0.8,"Medio","Bajo"))</f>
        <v>Bajo</v>
      </c>
      <c r="O237" t="s">
        <v>33</v>
      </c>
    </row>
    <row r="238" spans="1:15" hidden="1">
      <c r="A238" t="s">
        <v>1591</v>
      </c>
      <c r="B238" t="s">
        <v>663</v>
      </c>
      <c r="C238" t="s">
        <v>1592</v>
      </c>
      <c r="D238" t="s">
        <v>1593</v>
      </c>
      <c r="E238" s="2" t="s">
        <v>1594</v>
      </c>
      <c r="F238" t="s">
        <v>147</v>
      </c>
      <c r="G238" t="s">
        <v>147</v>
      </c>
      <c r="H238" s="2" t="s">
        <v>1595</v>
      </c>
      <c r="I238" t="s">
        <v>1596</v>
      </c>
      <c r="J238" s="3">
        <v>42078</v>
      </c>
      <c r="K238" t="b">
        <v>1</v>
      </c>
      <c r="L238" s="4">
        <v>5000</v>
      </c>
      <c r="M238" s="5">
        <v>3558.55</v>
      </c>
      <c r="N238" t="str">
        <f>IF(M238&gt;L238,"Alto",IF(M238&gt;L238*0.8,"Medio","Bajo"))</f>
        <v>Bajo</v>
      </c>
      <c r="O238" t="s">
        <v>33</v>
      </c>
    </row>
    <row r="239" spans="1:15" hidden="1">
      <c r="A239" t="s">
        <v>1597</v>
      </c>
      <c r="B239" t="s">
        <v>1598</v>
      </c>
      <c r="C239" t="s">
        <v>1599</v>
      </c>
      <c r="D239" t="s">
        <v>1600</v>
      </c>
      <c r="E239" s="2" t="s">
        <v>1601</v>
      </c>
      <c r="F239" t="s">
        <v>101</v>
      </c>
      <c r="G239" t="s">
        <v>102</v>
      </c>
      <c r="H239" s="2" t="s">
        <v>1602</v>
      </c>
      <c r="I239" t="s">
        <v>1603</v>
      </c>
      <c r="J239" s="3">
        <v>43625</v>
      </c>
      <c r="K239" t="b">
        <v>1</v>
      </c>
      <c r="L239" s="4">
        <v>3000</v>
      </c>
      <c r="M239" s="5">
        <v>95.52</v>
      </c>
      <c r="N239" t="str">
        <f>IF(M239&gt;L239,"Alto",IF(M239&gt;L239*0.8,"Medio","Bajo"))</f>
        <v>Bajo</v>
      </c>
      <c r="O239" t="s">
        <v>33</v>
      </c>
    </row>
    <row r="240" spans="1:15">
      <c r="A240" t="s">
        <v>1604</v>
      </c>
      <c r="B240" t="s">
        <v>272</v>
      </c>
      <c r="C240" t="s">
        <v>1605</v>
      </c>
      <c r="D240" t="s">
        <v>1606</v>
      </c>
      <c r="E240" s="2" t="s">
        <v>1607</v>
      </c>
      <c r="F240" t="s">
        <v>40</v>
      </c>
      <c r="G240" t="s">
        <v>40</v>
      </c>
      <c r="H240" s="2" t="s">
        <v>1608</v>
      </c>
      <c r="I240" t="s">
        <v>1609</v>
      </c>
      <c r="J240" s="3">
        <v>43580</v>
      </c>
      <c r="K240" t="b">
        <v>1</v>
      </c>
      <c r="L240" s="4">
        <v>5000</v>
      </c>
      <c r="M240" s="5">
        <v>1260.07</v>
      </c>
      <c r="N240" t="str">
        <f>IF(M240&gt;L240,"Alto",IF(M240&gt;L240*0.8,"Medio","Bajo"))</f>
        <v>Bajo</v>
      </c>
      <c r="O240" t="s">
        <v>33</v>
      </c>
    </row>
    <row r="241" spans="1:15" hidden="1">
      <c r="A241" t="s">
        <v>1610</v>
      </c>
      <c r="B241" t="s">
        <v>293</v>
      </c>
      <c r="C241" t="s">
        <v>1611</v>
      </c>
      <c r="D241" t="s">
        <v>1612</v>
      </c>
      <c r="E241" s="2" t="s">
        <v>1613</v>
      </c>
      <c r="F241" t="s">
        <v>297</v>
      </c>
      <c r="G241" t="s">
        <v>297</v>
      </c>
      <c r="H241" s="2" t="s">
        <v>1614</v>
      </c>
      <c r="I241" t="s">
        <v>1615</v>
      </c>
      <c r="J241" s="3">
        <v>44585</v>
      </c>
      <c r="K241" t="b">
        <v>1</v>
      </c>
      <c r="L241" s="4">
        <v>5000</v>
      </c>
      <c r="M241" s="5">
        <v>4770.43</v>
      </c>
      <c r="N241" t="str">
        <f>IF(M241&gt;L241,"Alto",IF(M241&gt;L241*0.8,"Medio","Bajo"))</f>
        <v>Medio</v>
      </c>
      <c r="O241" t="s">
        <v>33</v>
      </c>
    </row>
    <row r="242" spans="1:15" hidden="1">
      <c r="A242" t="s">
        <v>1616</v>
      </c>
      <c r="B242" t="s">
        <v>128</v>
      </c>
      <c r="C242" t="s">
        <v>1617</v>
      </c>
      <c r="D242" t="s">
        <v>1618</v>
      </c>
      <c r="E242" s="2" t="s">
        <v>1619</v>
      </c>
      <c r="F242" t="s">
        <v>227</v>
      </c>
      <c r="G242" t="s">
        <v>227</v>
      </c>
      <c r="H242" s="2" t="s">
        <v>1620</v>
      </c>
      <c r="I242" t="s">
        <v>1621</v>
      </c>
      <c r="J242" s="3">
        <v>44775</v>
      </c>
      <c r="K242" t="b">
        <v>1</v>
      </c>
      <c r="L242" s="4">
        <v>20000</v>
      </c>
      <c r="M242" s="5">
        <v>908.41</v>
      </c>
      <c r="N242" t="str">
        <f>IF(M242&gt;L242,"Alto",IF(M242&gt;L242*0.8,"Medio","Bajo"))</f>
        <v>Bajo</v>
      </c>
      <c r="O242" t="s">
        <v>33</v>
      </c>
    </row>
    <row r="243" spans="1:15">
      <c r="A243" t="s">
        <v>1622</v>
      </c>
      <c r="B243" t="s">
        <v>1623</v>
      </c>
      <c r="C243" t="s">
        <v>1624</v>
      </c>
      <c r="D243" t="s">
        <v>1625</v>
      </c>
      <c r="E243" s="2" t="s">
        <v>1626</v>
      </c>
      <c r="F243" t="s">
        <v>40</v>
      </c>
      <c r="G243" t="s">
        <v>40</v>
      </c>
      <c r="H243" s="2" t="s">
        <v>1627</v>
      </c>
      <c r="I243" t="s">
        <v>1628</v>
      </c>
      <c r="J243" s="3">
        <v>45369</v>
      </c>
      <c r="K243" t="b">
        <v>1</v>
      </c>
      <c r="L243" s="4">
        <v>5000</v>
      </c>
      <c r="M243" s="5">
        <v>2190.26</v>
      </c>
      <c r="N243" t="str">
        <f>IF(M243&gt;L243,"Alto",IF(M243&gt;L243*0.8,"Medio","Bajo"))</f>
        <v>Bajo</v>
      </c>
      <c r="O243" t="s">
        <v>33</v>
      </c>
    </row>
    <row r="244" spans="1:15" hidden="1">
      <c r="A244" t="s">
        <v>1629</v>
      </c>
      <c r="B244" t="s">
        <v>1630</v>
      </c>
      <c r="C244" t="s">
        <v>1631</v>
      </c>
      <c r="D244" t="s">
        <v>1632</v>
      </c>
      <c r="E244" s="2" t="s">
        <v>1633</v>
      </c>
      <c r="F244" t="s">
        <v>86</v>
      </c>
      <c r="G244" t="s">
        <v>86</v>
      </c>
      <c r="H244" s="2" t="s">
        <v>1634</v>
      </c>
      <c r="I244" t="s">
        <v>1635</v>
      </c>
      <c r="J244" s="3">
        <v>45489</v>
      </c>
      <c r="K244" t="b">
        <v>1</v>
      </c>
      <c r="L244" s="4">
        <v>20000</v>
      </c>
      <c r="M244" s="5">
        <v>20974.28</v>
      </c>
      <c r="N244" t="str">
        <f>IF(M244&gt;L244,"Alto",IF(M244&gt;L244*0.8,"Medio","Bajo"))</f>
        <v>Alto</v>
      </c>
      <c r="O244" t="s">
        <v>24</v>
      </c>
    </row>
    <row r="245" spans="1:15">
      <c r="A245" t="s">
        <v>1636</v>
      </c>
      <c r="B245" t="s">
        <v>1637</v>
      </c>
      <c r="C245" t="s">
        <v>1638</v>
      </c>
      <c r="D245" t="s">
        <v>1639</v>
      </c>
      <c r="E245" s="2" t="s">
        <v>1640</v>
      </c>
      <c r="F245" t="s">
        <v>39</v>
      </c>
      <c r="G245" t="s">
        <v>40</v>
      </c>
      <c r="H245" s="2" t="s">
        <v>1641</v>
      </c>
      <c r="I245" t="s">
        <v>1642</v>
      </c>
      <c r="J245" s="3">
        <v>45079</v>
      </c>
      <c r="K245" t="b">
        <v>1</v>
      </c>
      <c r="L245" s="4">
        <v>5000</v>
      </c>
      <c r="M245" s="5">
        <v>3726.74</v>
      </c>
      <c r="N245" t="str">
        <f>IF(M245&gt;L245,"Alto",IF(M245&gt;L245*0.8,"Medio","Bajo"))</f>
        <v>Bajo</v>
      </c>
      <c r="O245" t="s">
        <v>33</v>
      </c>
    </row>
    <row r="246" spans="1:15" hidden="1">
      <c r="A246" t="s">
        <v>1643</v>
      </c>
      <c r="B246" t="s">
        <v>1644</v>
      </c>
      <c r="C246" t="s">
        <v>1645</v>
      </c>
      <c r="D246" t="s">
        <v>1646</v>
      </c>
      <c r="E246" s="2" t="s">
        <v>1647</v>
      </c>
      <c r="F246" t="s">
        <v>196</v>
      </c>
      <c r="G246" t="s">
        <v>196</v>
      </c>
      <c r="H246" s="2" t="s">
        <v>1648</v>
      </c>
      <c r="I246" t="s">
        <v>1649</v>
      </c>
      <c r="J246" s="3">
        <v>45680</v>
      </c>
      <c r="K246" t="b">
        <v>1</v>
      </c>
      <c r="L246" s="4">
        <v>20000</v>
      </c>
      <c r="M246" s="5">
        <v>5315.86</v>
      </c>
      <c r="N246" t="str">
        <f>IF(M246&gt;L246,"Alto",IF(M246&gt;L246*0.8,"Medio","Bajo"))</f>
        <v>Bajo</v>
      </c>
      <c r="O246" t="s">
        <v>33</v>
      </c>
    </row>
    <row r="247" spans="1:15">
      <c r="A247" t="s">
        <v>1650</v>
      </c>
      <c r="B247" t="s">
        <v>1651</v>
      </c>
      <c r="C247" t="s">
        <v>1652</v>
      </c>
      <c r="D247" t="s">
        <v>1653</v>
      </c>
      <c r="E247" s="2" t="s">
        <v>1654</v>
      </c>
      <c r="F247" t="s">
        <v>30</v>
      </c>
      <c r="G247" t="s">
        <v>30</v>
      </c>
      <c r="H247" s="2" t="s">
        <v>1655</v>
      </c>
      <c r="I247" t="s">
        <v>1656</v>
      </c>
      <c r="J247" s="3">
        <v>43159</v>
      </c>
      <c r="K247" t="b">
        <v>1</v>
      </c>
      <c r="L247" s="4">
        <v>10000</v>
      </c>
      <c r="M247" s="5">
        <v>3856.41</v>
      </c>
      <c r="N247" t="str">
        <f>IF(M247&gt;L247,"Alto",IF(M247&gt;L247*0.8,"Medio","Bajo"))</f>
        <v>Bajo</v>
      </c>
      <c r="O247" t="s">
        <v>33</v>
      </c>
    </row>
    <row r="248" spans="1:15" hidden="1">
      <c r="A248" t="s">
        <v>1657</v>
      </c>
      <c r="B248" t="s">
        <v>265</v>
      </c>
      <c r="C248" t="s">
        <v>1658</v>
      </c>
      <c r="D248" t="s">
        <v>1659</v>
      </c>
      <c r="E248" s="2" t="s">
        <v>1660</v>
      </c>
      <c r="F248" t="s">
        <v>101</v>
      </c>
      <c r="G248" t="s">
        <v>102</v>
      </c>
      <c r="H248" s="2" t="s">
        <v>1661</v>
      </c>
      <c r="I248" t="s">
        <v>1662</v>
      </c>
      <c r="J248" s="3">
        <v>42351</v>
      </c>
      <c r="K248" t="b">
        <v>1</v>
      </c>
      <c r="L248" s="4">
        <v>5000</v>
      </c>
      <c r="M248" s="5">
        <v>186.9</v>
      </c>
      <c r="N248" t="str">
        <f>IF(M248&gt;L248,"Alto",IF(M248&gt;L248*0.8,"Medio","Bajo"))</f>
        <v>Bajo</v>
      </c>
      <c r="O248" t="s">
        <v>33</v>
      </c>
    </row>
    <row r="249" spans="1:15" hidden="1">
      <c r="A249" t="s">
        <v>1663</v>
      </c>
      <c r="B249" t="s">
        <v>121</v>
      </c>
      <c r="C249" t="s">
        <v>1664</v>
      </c>
      <c r="D249" t="s">
        <v>1665</v>
      </c>
      <c r="E249" s="2" t="s">
        <v>1666</v>
      </c>
      <c r="F249" t="s">
        <v>147</v>
      </c>
      <c r="G249" t="s">
        <v>147</v>
      </c>
      <c r="H249" s="2" t="s">
        <v>1667</v>
      </c>
      <c r="I249" t="s">
        <v>1668</v>
      </c>
      <c r="J249" s="3">
        <v>42342</v>
      </c>
      <c r="K249" t="b">
        <v>1</v>
      </c>
      <c r="L249" s="4">
        <v>10000</v>
      </c>
      <c r="M249" s="5">
        <v>2031.83</v>
      </c>
      <c r="N249" t="str">
        <f>IF(M249&gt;L249,"Alto",IF(M249&gt;L249*0.8,"Medio","Bajo"))</f>
        <v>Bajo</v>
      </c>
      <c r="O249" t="s">
        <v>33</v>
      </c>
    </row>
    <row r="250" spans="1:15" hidden="1">
      <c r="A250" t="s">
        <v>1669</v>
      </c>
      <c r="B250" t="s">
        <v>1670</v>
      </c>
      <c r="C250" t="s">
        <v>1671</v>
      </c>
      <c r="D250" t="s">
        <v>633</v>
      </c>
      <c r="E250" s="2" t="s">
        <v>1672</v>
      </c>
      <c r="F250" t="s">
        <v>20</v>
      </c>
      <c r="G250" t="s">
        <v>21</v>
      </c>
      <c r="H250" s="2" t="s">
        <v>1673</v>
      </c>
      <c r="I250" t="s">
        <v>1674</v>
      </c>
      <c r="J250" s="3">
        <v>45462</v>
      </c>
      <c r="K250" t="b">
        <v>1</v>
      </c>
      <c r="L250" s="4">
        <v>3000</v>
      </c>
      <c r="M250" s="5">
        <v>1899.12</v>
      </c>
      <c r="N250" t="str">
        <f>IF(M250&gt;L250,"Alto",IF(M250&gt;L250*0.8,"Medio","Bajo"))</f>
        <v>Bajo</v>
      </c>
      <c r="O250" t="s">
        <v>33</v>
      </c>
    </row>
    <row r="251" spans="1:15" hidden="1">
      <c r="A251" t="s">
        <v>1675</v>
      </c>
      <c r="B251" t="s">
        <v>456</v>
      </c>
      <c r="C251" t="s">
        <v>1676</v>
      </c>
      <c r="D251" t="s">
        <v>1677</v>
      </c>
      <c r="E251" s="2" t="s">
        <v>1678</v>
      </c>
      <c r="F251" t="s">
        <v>196</v>
      </c>
      <c r="G251" t="s">
        <v>196</v>
      </c>
      <c r="H251" s="2" t="s">
        <v>1679</v>
      </c>
      <c r="I251" t="s">
        <v>1680</v>
      </c>
      <c r="J251" s="3">
        <v>43659</v>
      </c>
      <c r="K251" t="b">
        <v>1</v>
      </c>
      <c r="L251" s="4">
        <v>10000</v>
      </c>
      <c r="M251" s="5">
        <v>7840.02</v>
      </c>
      <c r="N251" t="str">
        <f>IF(M251&gt;L251,"Alto",IF(M251&gt;L251*0.8,"Medio","Bajo"))</f>
        <v>Bajo</v>
      </c>
      <c r="O251" t="s">
        <v>33</v>
      </c>
    </row>
  </sheetData>
  <autoFilter ref="A1:O251">
    <filterColumn colId="6">
      <filters>
        <filter val="Barcelona"/>
        <filter val="Madri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2.7109375" customWidth="1"/>
    <col min="2" max="2" width="28.7109375" customWidth="1"/>
    <col min="3" max="3" width="14.7109375" customWidth="1"/>
    <col min="4" max="5" width="8.7109375" customWidth="1"/>
    <col min="6" max="6" width="16.7109375" customWidth="1"/>
    <col min="7" max="9" width="14.7109375" customWidth="1"/>
    <col min="10" max="11" width="9.7109375" customWidth="1"/>
  </cols>
  <sheetData>
    <row r="1" spans="1:11">
      <c r="A1" s="1" t="s">
        <v>1681</v>
      </c>
      <c r="B1" s="1"/>
      <c r="C1" s="1"/>
      <c r="D1" s="1" t="s">
        <v>1682</v>
      </c>
      <c r="E1" s="1"/>
      <c r="F1" s="1"/>
      <c r="G1" s="1" t="s">
        <v>1683</v>
      </c>
      <c r="H1" s="1"/>
      <c r="I1" s="1"/>
      <c r="J1" s="1" t="s">
        <v>1684</v>
      </c>
      <c r="K1" s="1"/>
    </row>
    <row r="2" spans="1:11">
      <c r="A2" s="1" t="s">
        <v>1685</v>
      </c>
      <c r="B2" s="1" t="s">
        <v>1686</v>
      </c>
      <c r="C2" s="1" t="s">
        <v>1687</v>
      </c>
      <c r="D2" s="1" t="s">
        <v>1688</v>
      </c>
      <c r="E2" s="1" t="s">
        <v>1689</v>
      </c>
      <c r="F2" s="1" t="s">
        <v>1690</v>
      </c>
      <c r="G2" s="1" t="s">
        <v>1691</v>
      </c>
      <c r="H2" s="1" t="s">
        <v>1692</v>
      </c>
      <c r="I2" s="1" t="s">
        <v>1693</v>
      </c>
      <c r="J2" s="1" t="s">
        <v>1694</v>
      </c>
      <c r="K2" s="1" t="s">
        <v>1695</v>
      </c>
    </row>
    <row r="3" spans="1:11">
      <c r="A3" t="s">
        <v>1696</v>
      </c>
      <c r="B3" t="s">
        <v>1697</v>
      </c>
      <c r="C3" t="s">
        <v>1698</v>
      </c>
      <c r="D3" s="6">
        <v>137</v>
      </c>
      <c r="E3">
        <v>25</v>
      </c>
      <c r="F3" t="s">
        <v>1699</v>
      </c>
      <c r="G3" s="5">
        <v>58.39</v>
      </c>
      <c r="H3" s="5">
        <v>110.38</v>
      </c>
      <c r="I3" s="5">
        <f>D3*G3</f>
        <v>7999.43</v>
      </c>
      <c r="J3" t="str">
        <f>IF(D3&lt;E3,"Sí","No")</f>
        <v>No</v>
      </c>
      <c r="K3" s="7">
        <f>IF(H3=0,0,(H3-G3)/H3)</f>
        <v>0.4710092408044935</v>
      </c>
    </row>
    <row r="4" spans="1:11">
      <c r="A4" t="s">
        <v>1700</v>
      </c>
      <c r="B4" t="s">
        <v>1701</v>
      </c>
      <c r="C4" t="s">
        <v>1702</v>
      </c>
      <c r="D4" s="6">
        <v>115</v>
      </c>
      <c r="E4">
        <v>50</v>
      </c>
      <c r="F4" t="s">
        <v>1703</v>
      </c>
      <c r="G4" s="5">
        <v>37.55</v>
      </c>
      <c r="H4" s="5">
        <v>77.37</v>
      </c>
      <c r="I4" s="5">
        <f>D4*G4</f>
        <v>4318.25</v>
      </c>
      <c r="J4" t="str">
        <f>IF(D4&lt;E4,"Sí","No")</f>
        <v>No</v>
      </c>
      <c r="K4" s="7">
        <f>IF(H4=0,0,(H4-G4)/H4)</f>
        <v>0.5146697686441774</v>
      </c>
    </row>
    <row r="5" spans="1:11">
      <c r="A5" t="s">
        <v>1704</v>
      </c>
      <c r="B5" t="s">
        <v>1705</v>
      </c>
      <c r="C5" t="s">
        <v>1706</v>
      </c>
      <c r="D5" s="6">
        <v>44</v>
      </c>
      <c r="E5">
        <v>10</v>
      </c>
      <c r="F5" t="s">
        <v>1707</v>
      </c>
      <c r="G5" s="5">
        <v>72.67</v>
      </c>
      <c r="H5" s="5">
        <v>106.69</v>
      </c>
      <c r="I5" s="5">
        <f>D5*G5</f>
        <v>3197.48</v>
      </c>
      <c r="J5" t="str">
        <f>IF(D5&lt;E5,"Sí","No")</f>
        <v>No</v>
      </c>
      <c r="K5" s="7">
        <f>IF(H5=0,0,(H5-G5)/H5)</f>
        <v>0.31886774768019494</v>
      </c>
    </row>
    <row r="6" spans="1:11">
      <c r="A6" t="s">
        <v>1708</v>
      </c>
      <c r="B6" t="s">
        <v>1709</v>
      </c>
      <c r="C6" t="s">
        <v>1710</v>
      </c>
      <c r="D6" s="6">
        <v>266</v>
      </c>
      <c r="E6">
        <v>10</v>
      </c>
      <c r="F6" t="s">
        <v>1711</v>
      </c>
      <c r="G6" s="5">
        <v>7.3</v>
      </c>
      <c r="H6" s="5">
        <v>10.96</v>
      </c>
      <c r="I6" s="5">
        <f>D6*G6</f>
        <v>1941.8</v>
      </c>
      <c r="J6" t="str">
        <f>IF(D6&lt;E6,"Sí","No")</f>
        <v>No</v>
      </c>
      <c r="K6" s="7">
        <f>IF(H6=0,0,(H6-G6)/H6)</f>
        <v>0.3339416058394161</v>
      </c>
    </row>
    <row r="7" spans="1:11">
      <c r="A7" t="s">
        <v>1712</v>
      </c>
      <c r="B7" t="s">
        <v>1713</v>
      </c>
      <c r="C7" t="s">
        <v>1714</v>
      </c>
      <c r="D7" s="6">
        <v>79</v>
      </c>
      <c r="E7">
        <v>20</v>
      </c>
      <c r="F7" t="s">
        <v>1715</v>
      </c>
      <c r="G7" s="5">
        <v>38.85</v>
      </c>
      <c r="H7" s="5">
        <v>78.5</v>
      </c>
      <c r="I7" s="5">
        <f>D7*G7</f>
        <v>3069.15</v>
      </c>
      <c r="J7" t="str">
        <f>IF(D7&lt;E7,"Sí","No")</f>
        <v>No</v>
      </c>
      <c r="K7" s="7">
        <f>IF(H7=0,0,(H7-G7)/H7)</f>
        <v>0.5050955414012739</v>
      </c>
    </row>
    <row r="8" spans="1:11">
      <c r="A8" t="s">
        <v>1716</v>
      </c>
      <c r="B8" t="s">
        <v>1717</v>
      </c>
      <c r="C8" t="s">
        <v>1718</v>
      </c>
      <c r="D8" s="6">
        <v>14</v>
      </c>
      <c r="E8">
        <v>25</v>
      </c>
      <c r="F8" t="s">
        <v>1719</v>
      </c>
      <c r="G8" s="5">
        <v>32.71</v>
      </c>
      <c r="H8" s="5">
        <v>57.88</v>
      </c>
      <c r="I8" s="5">
        <f>D8*G8</f>
        <v>457.94</v>
      </c>
      <c r="J8" t="str">
        <f>IF(D8&lt;E8,"Sí","No")</f>
        <v>Sí</v>
      </c>
      <c r="K8" s="7">
        <f>IF(H8=0,0,(H8-G8)/H8)</f>
        <v>0.43486523842432623</v>
      </c>
    </row>
    <row r="9" spans="1:11">
      <c r="A9" t="s">
        <v>1720</v>
      </c>
      <c r="B9" t="s">
        <v>1721</v>
      </c>
      <c r="C9" t="s">
        <v>1710</v>
      </c>
      <c r="D9" s="6">
        <v>247</v>
      </c>
      <c r="E9">
        <v>20</v>
      </c>
      <c r="F9" t="s">
        <v>1722</v>
      </c>
      <c r="G9" s="5">
        <v>17.55</v>
      </c>
      <c r="H9" s="5">
        <v>30.62</v>
      </c>
      <c r="I9" s="5">
        <f>D9*G9</f>
        <v>4334.85</v>
      </c>
      <c r="J9" t="str">
        <f>IF(D9&lt;E9,"Sí","No")</f>
        <v>No</v>
      </c>
      <c r="K9" s="7">
        <f>IF(H9=0,0,(H9-G9)/H9)</f>
        <v>0.42684519921619857</v>
      </c>
    </row>
    <row r="10" spans="1:11">
      <c r="A10" t="s">
        <v>1723</v>
      </c>
      <c r="B10" t="s">
        <v>1724</v>
      </c>
      <c r="C10" t="s">
        <v>1706</v>
      </c>
      <c r="D10" s="6">
        <v>84</v>
      </c>
      <c r="E10">
        <v>20</v>
      </c>
      <c r="F10" t="s">
        <v>1725</v>
      </c>
      <c r="G10" s="5">
        <v>32.86</v>
      </c>
      <c r="H10" s="5">
        <v>56.43</v>
      </c>
      <c r="I10" s="5">
        <f>D10*G10</f>
        <v>2760.24</v>
      </c>
      <c r="J10" t="str">
        <f>IF(D10&lt;E10,"Sí","No")</f>
        <v>No</v>
      </c>
      <c r="K10" s="7">
        <f>IF(H10=0,0,(H10-G10)/H10)</f>
        <v>0.417685628211944</v>
      </c>
    </row>
    <row r="11" spans="1:11">
      <c r="A11" t="s">
        <v>1726</v>
      </c>
      <c r="B11" t="s">
        <v>1727</v>
      </c>
      <c r="C11" t="s">
        <v>1714</v>
      </c>
      <c r="D11" s="6">
        <v>94</v>
      </c>
      <c r="E11">
        <v>10</v>
      </c>
      <c r="F11" t="s">
        <v>1728</v>
      </c>
      <c r="G11" s="5">
        <v>3.23</v>
      </c>
      <c r="H11" s="5">
        <v>5.7</v>
      </c>
      <c r="I11" s="5">
        <f>D11*G11</f>
        <v>303.62</v>
      </c>
      <c r="J11" t="str">
        <f>IF(D11&lt;E11,"Sí","No")</f>
        <v>No</v>
      </c>
      <c r="K11" s="7">
        <f>IF(H11=0,0,(H11-G11)/H11)</f>
        <v>0.43333333333333335</v>
      </c>
    </row>
    <row r="12" spans="1:11">
      <c r="A12" t="s">
        <v>1729</v>
      </c>
      <c r="B12" t="s">
        <v>1730</v>
      </c>
      <c r="C12" t="s">
        <v>1714</v>
      </c>
      <c r="D12" s="6">
        <v>106</v>
      </c>
      <c r="E12">
        <v>20</v>
      </c>
      <c r="F12" t="s">
        <v>1731</v>
      </c>
      <c r="G12" s="5">
        <v>27.66</v>
      </c>
      <c r="H12" s="5">
        <v>47.27</v>
      </c>
      <c r="I12" s="5">
        <f>D12*G12</f>
        <v>2931.96</v>
      </c>
      <c r="J12" t="str">
        <f>IF(D12&lt;E12,"Sí","No")</f>
        <v>No</v>
      </c>
      <c r="K12" s="7">
        <f>IF(H12=0,0,(H12-G12)/H12)</f>
        <v>0.4148508567801989</v>
      </c>
    </row>
    <row r="13" spans="1:11">
      <c r="A13" t="s">
        <v>1732</v>
      </c>
      <c r="B13" t="s">
        <v>1733</v>
      </c>
      <c r="C13" t="s">
        <v>1710</v>
      </c>
      <c r="D13" s="6">
        <v>326</v>
      </c>
      <c r="E13">
        <v>20</v>
      </c>
      <c r="F13" t="s">
        <v>1734</v>
      </c>
      <c r="G13" s="5">
        <v>40.38</v>
      </c>
      <c r="H13" s="5">
        <v>63.6</v>
      </c>
      <c r="I13" s="5">
        <f>D13*G13</f>
        <v>13163.880000000001</v>
      </c>
      <c r="J13" t="str">
        <f>IF(D13&lt;E13,"Sí","No")</f>
        <v>No</v>
      </c>
      <c r="K13" s="7">
        <f>IF(H13=0,0,(H13-G13)/H13)</f>
        <v>0.3650943396226415</v>
      </c>
    </row>
    <row r="14" spans="1:11">
      <c r="A14" t="s">
        <v>1735</v>
      </c>
      <c r="B14" t="s">
        <v>1736</v>
      </c>
      <c r="C14" t="s">
        <v>1698</v>
      </c>
      <c r="D14" s="6">
        <v>346</v>
      </c>
      <c r="E14">
        <v>20</v>
      </c>
      <c r="F14" t="s">
        <v>1737</v>
      </c>
      <c r="G14" s="5">
        <v>57.22</v>
      </c>
      <c r="H14" s="5">
        <v>118.52</v>
      </c>
      <c r="I14" s="5">
        <f>D14*G14</f>
        <v>19798.12</v>
      </c>
      <c r="J14" t="str">
        <f>IF(D14&lt;E14,"Sí","No")</f>
        <v>No</v>
      </c>
      <c r="K14" s="7">
        <f>IF(H14=0,0,(H14-G14)/H14)</f>
        <v>0.5172122848464394</v>
      </c>
    </row>
    <row r="15" spans="1:11">
      <c r="A15" t="s">
        <v>1738</v>
      </c>
      <c r="B15" t="s">
        <v>1739</v>
      </c>
      <c r="C15" t="s">
        <v>1706</v>
      </c>
      <c r="D15" s="6">
        <v>344</v>
      </c>
      <c r="E15">
        <v>10</v>
      </c>
      <c r="F15" t="s">
        <v>1740</v>
      </c>
      <c r="G15" s="5">
        <v>7.52</v>
      </c>
      <c r="H15" s="5">
        <v>14.09</v>
      </c>
      <c r="I15" s="5">
        <f>D15*G15</f>
        <v>2586.8799999999997</v>
      </c>
      <c r="J15" t="str">
        <f>IF(D15&lt;E15,"Sí","No")</f>
        <v>No</v>
      </c>
      <c r="K15" s="7">
        <f>IF(H15=0,0,(H15-G15)/H15)</f>
        <v>0.46628814762242726</v>
      </c>
    </row>
    <row r="16" spans="1:11">
      <c r="A16" t="s">
        <v>1741</v>
      </c>
      <c r="B16" t="s">
        <v>1742</v>
      </c>
      <c r="C16" t="s">
        <v>1706</v>
      </c>
      <c r="D16" s="6">
        <v>356</v>
      </c>
      <c r="E16">
        <v>20</v>
      </c>
      <c r="F16" t="s">
        <v>1743</v>
      </c>
      <c r="G16" s="5">
        <v>12.9</v>
      </c>
      <c r="H16" s="5">
        <v>24.97</v>
      </c>
      <c r="I16" s="5">
        <f>D16*G16</f>
        <v>4592.400000000001</v>
      </c>
      <c r="J16" t="str">
        <f>IF(D16&lt;E16,"Sí","No")</f>
        <v>No</v>
      </c>
      <c r="K16" s="7">
        <f>IF(H16=0,0,(H16-G16)/H16)</f>
        <v>0.4833800560672807</v>
      </c>
    </row>
    <row r="17" spans="1:11">
      <c r="A17" t="s">
        <v>1744</v>
      </c>
      <c r="B17" t="s">
        <v>1745</v>
      </c>
      <c r="C17" t="s">
        <v>1702</v>
      </c>
      <c r="D17" s="6">
        <v>205</v>
      </c>
      <c r="E17">
        <v>25</v>
      </c>
      <c r="F17" t="s">
        <v>1746</v>
      </c>
      <c r="G17" s="5">
        <v>78.2</v>
      </c>
      <c r="H17" s="5">
        <v>98.48</v>
      </c>
      <c r="I17" s="5">
        <f>D17*G17</f>
        <v>16031.0</v>
      </c>
      <c r="J17" t="str">
        <f>IF(D17&lt;E17,"Sí","No")</f>
        <v>No</v>
      </c>
      <c r="K17" s="7">
        <f>IF(H17=0,0,(H17-G17)/H17)</f>
        <v>0.20593013809910643</v>
      </c>
    </row>
    <row r="18" spans="1:11">
      <c r="A18" t="s">
        <v>1747</v>
      </c>
      <c r="B18" t="s">
        <v>1748</v>
      </c>
      <c r="C18" t="s">
        <v>1714</v>
      </c>
      <c r="D18" s="6">
        <v>55</v>
      </c>
      <c r="E18">
        <v>20</v>
      </c>
      <c r="F18" t="s">
        <v>1743</v>
      </c>
      <c r="G18" s="5">
        <v>40.78</v>
      </c>
      <c r="H18" s="5">
        <v>56.16</v>
      </c>
      <c r="I18" s="5">
        <f>D18*G18</f>
        <v>2242.9</v>
      </c>
      <c r="J18" t="str">
        <f>IF(D18&lt;E18,"Sí","No")</f>
        <v>No</v>
      </c>
      <c r="K18" s="7">
        <f>IF(H18=0,0,(H18-G18)/H18)</f>
        <v>0.2738603988603988</v>
      </c>
    </row>
    <row r="19" spans="1:11">
      <c r="A19" t="s">
        <v>1749</v>
      </c>
      <c r="B19" t="s">
        <v>1750</v>
      </c>
      <c r="C19" t="s">
        <v>1706</v>
      </c>
      <c r="D19" s="6">
        <v>45</v>
      </c>
      <c r="E19">
        <v>25</v>
      </c>
      <c r="F19" t="s">
        <v>1751</v>
      </c>
      <c r="G19" s="5">
        <v>50.5</v>
      </c>
      <c r="H19" s="5">
        <v>87.29000000000001</v>
      </c>
      <c r="I19" s="5">
        <f>D19*G19</f>
        <v>2272.5</v>
      </c>
      <c r="J19" t="str">
        <f>IF(D19&lt;E19,"Sí","No")</f>
        <v>No</v>
      </c>
      <c r="K19" s="7">
        <f>IF(H19=0,0,(H19-G19)/H19)</f>
        <v>0.4214686676595258</v>
      </c>
    </row>
    <row r="20" spans="1:11">
      <c r="A20" t="s">
        <v>1752</v>
      </c>
      <c r="B20" t="s">
        <v>1753</v>
      </c>
      <c r="C20" t="s">
        <v>1702</v>
      </c>
      <c r="D20" s="6">
        <v>139</v>
      </c>
      <c r="E20">
        <v>50</v>
      </c>
      <c r="F20" t="s">
        <v>1754</v>
      </c>
      <c r="G20" s="5">
        <v>26.42</v>
      </c>
      <c r="H20" s="5">
        <v>54.66</v>
      </c>
      <c r="I20" s="5">
        <f>D20*G20</f>
        <v>3672.38</v>
      </c>
      <c r="J20" t="str">
        <f>IF(D20&lt;E20,"Sí","No")</f>
        <v>No</v>
      </c>
      <c r="K20" s="7">
        <f>IF(H20=0,0,(H20-G20)/H20)</f>
        <v>0.5166483717526527</v>
      </c>
    </row>
    <row r="21" spans="1:11">
      <c r="A21" t="s">
        <v>1755</v>
      </c>
      <c r="B21" t="s">
        <v>1756</v>
      </c>
      <c r="C21" t="s">
        <v>1718</v>
      </c>
      <c r="D21" s="6">
        <v>275</v>
      </c>
      <c r="E21">
        <v>50</v>
      </c>
      <c r="F21" t="s">
        <v>1757</v>
      </c>
      <c r="G21" s="5">
        <v>5.22</v>
      </c>
      <c r="H21" s="5">
        <v>10</v>
      </c>
      <c r="I21" s="5">
        <f>D21*G21</f>
        <v>1435.5</v>
      </c>
      <c r="J21" t="str">
        <f>IF(D21&lt;E21,"Sí","No")</f>
        <v>No</v>
      </c>
      <c r="K21" s="7">
        <f>IF(H21=0,0,(H21-G21)/H21)</f>
        <v>0.47800000000000004</v>
      </c>
    </row>
    <row r="22" spans="1:11">
      <c r="A22" t="s">
        <v>1758</v>
      </c>
      <c r="B22" t="s">
        <v>1759</v>
      </c>
      <c r="C22" t="s">
        <v>1710</v>
      </c>
      <c r="D22" s="6">
        <v>324</v>
      </c>
      <c r="E22">
        <v>25</v>
      </c>
      <c r="F22" t="s">
        <v>1719</v>
      </c>
      <c r="G22" s="5">
        <v>35.4</v>
      </c>
      <c r="H22" s="5">
        <v>48.7</v>
      </c>
      <c r="I22" s="5">
        <f>D22*G22</f>
        <v>11469.6</v>
      </c>
      <c r="J22" t="str">
        <f>IF(D22&lt;E22,"Sí","No")</f>
        <v>No</v>
      </c>
      <c r="K22" s="7">
        <f>IF(H22=0,0,(H22-G22)/H22)</f>
        <v>0.27310061601642716</v>
      </c>
    </row>
    <row r="23" spans="1:11">
      <c r="A23" t="s">
        <v>1760</v>
      </c>
      <c r="B23" t="s">
        <v>1761</v>
      </c>
      <c r="C23" t="s">
        <v>1706</v>
      </c>
      <c r="D23" s="6">
        <v>19</v>
      </c>
      <c r="E23">
        <v>10</v>
      </c>
      <c r="F23" t="s">
        <v>1762</v>
      </c>
      <c r="G23" s="5">
        <v>73.78</v>
      </c>
      <c r="H23" s="5">
        <v>118.51</v>
      </c>
      <c r="I23" s="5">
        <f>D23*G23</f>
        <v>1401.82</v>
      </c>
      <c r="J23" t="str">
        <f>IF(D23&lt;E23,"Sí","No")</f>
        <v>No</v>
      </c>
      <c r="K23" s="7">
        <f>IF(H23=0,0,(H23-G23)/H23)</f>
        <v>0.377436503248671</v>
      </c>
    </row>
    <row r="24" spans="1:11">
      <c r="A24" t="s">
        <v>1763</v>
      </c>
      <c r="B24" t="s">
        <v>1764</v>
      </c>
      <c r="C24" t="s">
        <v>1702</v>
      </c>
      <c r="D24" s="6">
        <v>152</v>
      </c>
      <c r="E24">
        <v>50</v>
      </c>
      <c r="F24" t="s">
        <v>1765</v>
      </c>
      <c r="G24" s="5">
        <v>46.36</v>
      </c>
      <c r="H24" s="5">
        <v>94.64</v>
      </c>
      <c r="I24" s="5">
        <f>D24*G24</f>
        <v>7046.72</v>
      </c>
      <c r="J24" t="str">
        <f>IF(D24&lt;E24,"Sí","No")</f>
        <v>No</v>
      </c>
      <c r="K24" s="7">
        <f>IF(H24=0,0,(H24-G24)/H24)</f>
        <v>0.5101437024513947</v>
      </c>
    </row>
    <row r="25" spans="1:11">
      <c r="A25" t="s">
        <v>1766</v>
      </c>
      <c r="B25" t="s">
        <v>1767</v>
      </c>
      <c r="C25" t="s">
        <v>1718</v>
      </c>
      <c r="D25" s="6">
        <v>204</v>
      </c>
      <c r="E25">
        <v>50</v>
      </c>
      <c r="F25" t="s">
        <v>1768</v>
      </c>
      <c r="G25" s="5">
        <v>39.87</v>
      </c>
      <c r="H25" s="5">
        <v>75.45999999999999</v>
      </c>
      <c r="I25" s="5">
        <f>D25*G25</f>
        <v>8133.48</v>
      </c>
      <c r="J25" t="str">
        <f>IF(D25&lt;E25,"Sí","No")</f>
        <v>No</v>
      </c>
      <c r="K25" s="7">
        <f>IF(H25=0,0,(H25-G25)/H25)</f>
        <v>0.4716406042936655</v>
      </c>
    </row>
    <row r="26" spans="1:11">
      <c r="A26" t="s">
        <v>1769</v>
      </c>
      <c r="B26" t="s">
        <v>1770</v>
      </c>
      <c r="C26" t="s">
        <v>1718</v>
      </c>
      <c r="D26" s="6">
        <v>80</v>
      </c>
      <c r="E26">
        <v>10</v>
      </c>
      <c r="F26" t="s">
        <v>1771</v>
      </c>
      <c r="G26" s="5">
        <v>78.86</v>
      </c>
      <c r="H26" s="5">
        <v>106.66</v>
      </c>
      <c r="I26" s="5">
        <f>D26*G26</f>
        <v>6308.8</v>
      </c>
      <c r="J26" t="str">
        <f>IF(D26&lt;E26,"Sí","No")</f>
        <v>No</v>
      </c>
      <c r="K26" s="7">
        <f>IF(H26=0,0,(H26-G26)/H26)</f>
        <v>0.26064129008063003</v>
      </c>
    </row>
    <row r="27" spans="1:11">
      <c r="A27" t="s">
        <v>1772</v>
      </c>
      <c r="B27" t="s">
        <v>1773</v>
      </c>
      <c r="C27" t="s">
        <v>1698</v>
      </c>
      <c r="D27" s="6">
        <v>247</v>
      </c>
      <c r="E27">
        <v>20</v>
      </c>
      <c r="F27" t="s">
        <v>1774</v>
      </c>
      <c r="G27" s="5">
        <v>51.64</v>
      </c>
      <c r="H27" s="5">
        <v>86.33</v>
      </c>
      <c r="I27" s="5">
        <f>D27*G27</f>
        <v>12755.08</v>
      </c>
      <c r="J27" t="str">
        <f>IF(D27&lt;E27,"Sí","No")</f>
        <v>No</v>
      </c>
      <c r="K27" s="7">
        <f>IF(H27=0,0,(H27-G27)/H27)</f>
        <v>0.401830186493687</v>
      </c>
    </row>
    <row r="28" spans="1:11">
      <c r="A28" t="s">
        <v>1775</v>
      </c>
      <c r="B28" t="s">
        <v>1776</v>
      </c>
      <c r="C28" t="s">
        <v>1718</v>
      </c>
      <c r="D28" s="6">
        <v>14</v>
      </c>
      <c r="E28">
        <v>20</v>
      </c>
      <c r="F28" t="s">
        <v>1777</v>
      </c>
      <c r="G28" s="5">
        <v>37.63</v>
      </c>
      <c r="H28" s="5">
        <v>50.53</v>
      </c>
      <c r="I28" s="5">
        <f>D28*G28</f>
        <v>526.82</v>
      </c>
      <c r="J28" t="str">
        <f>IF(D28&lt;E28,"Sí","No")</f>
        <v>Sí</v>
      </c>
      <c r="K28" s="7">
        <f>IF(H28=0,0,(H28-G28)/H28)</f>
        <v>0.25529388482089843</v>
      </c>
    </row>
    <row r="29" spans="1:11">
      <c r="A29" t="s">
        <v>1778</v>
      </c>
      <c r="B29" t="s">
        <v>1779</v>
      </c>
      <c r="C29" t="s">
        <v>1714</v>
      </c>
      <c r="D29" s="6">
        <v>38</v>
      </c>
      <c r="E29">
        <v>20</v>
      </c>
      <c r="F29" t="s">
        <v>1731</v>
      </c>
      <c r="G29" s="5">
        <v>44.43</v>
      </c>
      <c r="H29" s="5">
        <v>81.42</v>
      </c>
      <c r="I29" s="5">
        <f>D29*G29</f>
        <v>1688.34</v>
      </c>
      <c r="J29" t="str">
        <f>IF(D29&lt;E29,"Sí","No")</f>
        <v>No</v>
      </c>
      <c r="K29" s="7">
        <f>IF(H29=0,0,(H29-G29)/H29)</f>
        <v>0.4543109801031688</v>
      </c>
    </row>
    <row r="30" spans="1:11">
      <c r="A30" t="s">
        <v>1780</v>
      </c>
      <c r="B30" t="s">
        <v>1781</v>
      </c>
      <c r="C30" t="s">
        <v>1698</v>
      </c>
      <c r="D30" s="6">
        <v>201</v>
      </c>
      <c r="E30">
        <v>20</v>
      </c>
      <c r="F30" t="s">
        <v>1782</v>
      </c>
      <c r="G30" s="5">
        <v>60.86</v>
      </c>
      <c r="H30" s="5">
        <v>93.3</v>
      </c>
      <c r="I30" s="5">
        <f>D30*G30</f>
        <v>12232.86</v>
      </c>
      <c r="J30" t="str">
        <f>IF(D30&lt;E30,"Sí","No")</f>
        <v>No</v>
      </c>
      <c r="K30" s="7">
        <f>IF(H30=0,0,(H30-G30)/H30)</f>
        <v>0.34769560557341905</v>
      </c>
    </row>
    <row r="31" spans="1:11">
      <c r="A31" t="s">
        <v>1783</v>
      </c>
      <c r="B31" t="s">
        <v>1784</v>
      </c>
      <c r="C31" t="s">
        <v>1718</v>
      </c>
      <c r="D31" s="6">
        <v>104</v>
      </c>
      <c r="E31">
        <v>50</v>
      </c>
      <c r="F31" t="s">
        <v>1785</v>
      </c>
      <c r="G31" s="5">
        <v>75.93000000000001</v>
      </c>
      <c r="H31" s="5">
        <v>101.07</v>
      </c>
      <c r="I31" s="5">
        <f>D31*G31</f>
        <v>7896.720000000001</v>
      </c>
      <c r="J31" t="str">
        <f>IF(D31&lt;E31,"Sí","No")</f>
        <v>No</v>
      </c>
      <c r="K31" s="7">
        <f>IF(H31=0,0,(H31-G31)/H31)</f>
        <v>0.248738498070644</v>
      </c>
    </row>
    <row r="32" spans="1:11">
      <c r="A32" t="s">
        <v>1786</v>
      </c>
      <c r="B32" t="s">
        <v>1787</v>
      </c>
      <c r="C32" t="s">
        <v>1714</v>
      </c>
      <c r="D32" s="6">
        <v>201</v>
      </c>
      <c r="E32">
        <v>10</v>
      </c>
      <c r="F32" t="s">
        <v>1762</v>
      </c>
      <c r="G32" s="5">
        <v>68.97</v>
      </c>
      <c r="H32" s="5">
        <v>123.56</v>
      </c>
      <c r="I32" s="5">
        <f>D32*G32</f>
        <v>13862.97</v>
      </c>
      <c r="J32" t="str">
        <f>IF(D32&lt;E32,"Sí","No")</f>
        <v>No</v>
      </c>
      <c r="K32" s="7">
        <f>IF(H32=0,0,(H32-G32)/H32)</f>
        <v>0.44180964713499515</v>
      </c>
    </row>
    <row r="33" spans="1:11">
      <c r="A33" t="s">
        <v>1788</v>
      </c>
      <c r="B33" t="s">
        <v>1789</v>
      </c>
      <c r="C33" t="s">
        <v>1718</v>
      </c>
      <c r="D33" s="6">
        <v>177</v>
      </c>
      <c r="E33">
        <v>50</v>
      </c>
      <c r="F33" t="s">
        <v>1790</v>
      </c>
      <c r="G33" s="5">
        <v>17.1</v>
      </c>
      <c r="H33" s="5">
        <v>27.44</v>
      </c>
      <c r="I33" s="5">
        <f>D33*G33</f>
        <v>3026.7000000000003</v>
      </c>
      <c r="J33" t="str">
        <f>IF(D33&lt;E33,"Sí","No")</f>
        <v>No</v>
      </c>
      <c r="K33" s="7">
        <f>IF(H33=0,0,(H33-G33)/H33)</f>
        <v>0.3768221574344023</v>
      </c>
    </row>
    <row r="34" spans="1:11">
      <c r="A34" t="s">
        <v>1791</v>
      </c>
      <c r="B34" t="s">
        <v>1792</v>
      </c>
      <c r="C34" t="s">
        <v>1714</v>
      </c>
      <c r="D34" s="6">
        <v>368</v>
      </c>
      <c r="E34">
        <v>50</v>
      </c>
      <c r="F34" t="s">
        <v>1793</v>
      </c>
      <c r="G34" s="5">
        <v>45.19</v>
      </c>
      <c r="H34" s="5">
        <v>72.78</v>
      </c>
      <c r="I34" s="5">
        <f>D34*G34</f>
        <v>16629.92</v>
      </c>
      <c r="J34" t="str">
        <f>IF(D34&lt;E34,"Sí","No")</f>
        <v>No</v>
      </c>
      <c r="K34" s="7">
        <f>IF(H34=0,0,(H34-G34)/H34)</f>
        <v>0.3790876614454521</v>
      </c>
    </row>
    <row r="35" spans="1:11">
      <c r="A35" t="s">
        <v>1794</v>
      </c>
      <c r="B35" t="s">
        <v>1795</v>
      </c>
      <c r="C35" t="s">
        <v>1698</v>
      </c>
      <c r="D35" s="6">
        <v>120</v>
      </c>
      <c r="E35">
        <v>25</v>
      </c>
      <c r="F35" t="s">
        <v>1796</v>
      </c>
      <c r="G35" s="5">
        <v>35.99</v>
      </c>
      <c r="H35" s="5">
        <v>47.3</v>
      </c>
      <c r="I35" s="5">
        <f>D35*G35</f>
        <v>4318.8</v>
      </c>
      <c r="J35" t="str">
        <f>IF(D35&lt;E35,"Sí","No")</f>
        <v>No</v>
      </c>
      <c r="K35" s="7">
        <f>IF(H35=0,0,(H35-G35)/H35)</f>
        <v>0.23911205073995762</v>
      </c>
    </row>
    <row r="36" spans="1:11">
      <c r="A36" t="s">
        <v>1797</v>
      </c>
      <c r="B36" t="s">
        <v>1798</v>
      </c>
      <c r="C36" t="s">
        <v>1702</v>
      </c>
      <c r="D36" s="6">
        <v>314</v>
      </c>
      <c r="E36">
        <v>10</v>
      </c>
      <c r="F36" t="s">
        <v>1799</v>
      </c>
      <c r="G36" s="5">
        <v>77.95999999999999</v>
      </c>
      <c r="H36" s="5">
        <v>130.55</v>
      </c>
      <c r="I36" s="5">
        <f>D36*G36</f>
        <v>24479.44</v>
      </c>
      <c r="J36" t="str">
        <f>IF(D36&lt;E36,"Sí","No")</f>
        <v>No</v>
      </c>
      <c r="K36" s="7">
        <f>IF(H36=0,0,(H36-G36)/H36)</f>
        <v>0.40283416315587905</v>
      </c>
    </row>
    <row r="37" spans="1:11">
      <c r="A37" t="s">
        <v>1800</v>
      </c>
      <c r="B37" t="s">
        <v>1801</v>
      </c>
      <c r="C37" t="s">
        <v>1698</v>
      </c>
      <c r="D37" s="6">
        <v>293</v>
      </c>
      <c r="E37">
        <v>20</v>
      </c>
      <c r="F37" t="s">
        <v>1802</v>
      </c>
      <c r="G37" s="5">
        <v>9.73</v>
      </c>
      <c r="H37" s="5">
        <v>15.55</v>
      </c>
      <c r="I37" s="5">
        <f>D37*G37</f>
        <v>2850.8900000000003</v>
      </c>
      <c r="J37" t="str">
        <f>IF(D37&lt;E37,"Sí","No")</f>
        <v>No</v>
      </c>
      <c r="K37" s="7">
        <f>IF(H37=0,0,(H37-G37)/H37)</f>
        <v>0.3742765273311897</v>
      </c>
    </row>
    <row r="38" spans="1:11">
      <c r="A38" t="s">
        <v>1803</v>
      </c>
      <c r="B38" t="s">
        <v>1804</v>
      </c>
      <c r="C38" t="s">
        <v>1714</v>
      </c>
      <c r="D38" s="6">
        <v>104</v>
      </c>
      <c r="E38">
        <v>20</v>
      </c>
      <c r="F38" t="s">
        <v>1805</v>
      </c>
      <c r="G38" s="5">
        <v>46.04</v>
      </c>
      <c r="H38" s="5">
        <v>86.56999999999999</v>
      </c>
      <c r="I38" s="5">
        <f>D38*G38</f>
        <v>4788.16</v>
      </c>
      <c r="J38" t="str">
        <f>IF(D38&lt;E38,"Sí","No")</f>
        <v>No</v>
      </c>
      <c r="K38" s="7">
        <f>IF(H38=0,0,(H38-G38)/H38)</f>
        <v>0.4681760425089523</v>
      </c>
    </row>
    <row r="39" spans="1:11">
      <c r="A39" t="s">
        <v>1806</v>
      </c>
      <c r="B39" t="s">
        <v>1807</v>
      </c>
      <c r="C39" t="s">
        <v>1714</v>
      </c>
      <c r="D39" s="6">
        <v>167</v>
      </c>
      <c r="E39">
        <v>10</v>
      </c>
      <c r="F39" t="s">
        <v>1808</v>
      </c>
      <c r="G39" s="5">
        <v>78.08</v>
      </c>
      <c r="H39" s="5">
        <v>97.7</v>
      </c>
      <c r="I39" s="5">
        <f>D39*G39</f>
        <v>13039.36</v>
      </c>
      <c r="J39" t="str">
        <f>IF(D39&lt;E39,"Sí","No")</f>
        <v>No</v>
      </c>
      <c r="K39" s="7">
        <f>IF(H39=0,0,(H39-G39)/H39)</f>
        <v>0.20081883316274313</v>
      </c>
    </row>
    <row r="40" spans="1:11">
      <c r="A40" t="s">
        <v>1809</v>
      </c>
      <c r="B40" t="s">
        <v>1810</v>
      </c>
      <c r="C40" t="s">
        <v>1710</v>
      </c>
      <c r="D40" s="6">
        <v>345</v>
      </c>
      <c r="E40">
        <v>10</v>
      </c>
      <c r="F40" t="s">
        <v>1811</v>
      </c>
      <c r="G40" s="5">
        <v>29.36</v>
      </c>
      <c r="H40" s="5">
        <v>43.24</v>
      </c>
      <c r="I40" s="5">
        <f>D40*G40</f>
        <v>10129.199999999999</v>
      </c>
      <c r="J40" t="str">
        <f>IF(D40&lt;E40,"Sí","No")</f>
        <v>No</v>
      </c>
      <c r="K40" s="7">
        <f>IF(H40=0,0,(H40-G40)/H40)</f>
        <v>0.32099907493061985</v>
      </c>
    </row>
    <row r="41" spans="1:11" hidden="1">
      <c r="A41" t="s">
        <v>1812</v>
      </c>
      <c r="B41" t="s">
        <v>1813</v>
      </c>
      <c r="C41" t="s">
        <v>1714</v>
      </c>
      <c r="D41" s="6">
        <v>54</v>
      </c>
      <c r="E41">
        <v>25</v>
      </c>
      <c r="F41" t="s">
        <v>1814</v>
      </c>
      <c r="G41" s="5">
        <v>48.99</v>
      </c>
      <c r="H41" s="5">
        <v>63.3</v>
      </c>
      <c r="I41" s="5">
        <f>D41*G41</f>
        <v>2645.46</v>
      </c>
      <c r="J41" t="str">
        <f>IF(D41&lt;E41,"Sí","No")</f>
        <v>No</v>
      </c>
      <c r="K41" s="7">
        <f>IF(H41=0,0,(H41-G41)/H41)</f>
        <v>0.22606635071090042</v>
      </c>
    </row>
    <row r="42" spans="1:11" hidden="1">
      <c r="A42" t="s">
        <v>1815</v>
      </c>
      <c r="B42" t="s">
        <v>1816</v>
      </c>
      <c r="C42" t="s">
        <v>1718</v>
      </c>
      <c r="D42" s="6">
        <v>288</v>
      </c>
      <c r="E42">
        <v>20</v>
      </c>
      <c r="F42" t="s">
        <v>1817</v>
      </c>
      <c r="G42" s="5">
        <v>37.85</v>
      </c>
      <c r="H42" s="5">
        <v>66.33</v>
      </c>
      <c r="I42" s="5">
        <f>D42*G42</f>
        <v>10900.800000000001</v>
      </c>
      <c r="J42" t="str">
        <f>IF(D42&lt;E42,"Sí","No")</f>
        <v>No</v>
      </c>
      <c r="K42" s="7">
        <f>IF(H42=0,0,(H42-G42)/H42)</f>
        <v>0.4293683099653249</v>
      </c>
    </row>
    <row r="43" spans="1:11" hidden="1">
      <c r="A43" t="s">
        <v>1818</v>
      </c>
      <c r="B43" t="s">
        <v>1819</v>
      </c>
      <c r="C43" t="s">
        <v>1714</v>
      </c>
      <c r="D43" s="6">
        <v>388</v>
      </c>
      <c r="E43">
        <v>50</v>
      </c>
      <c r="F43" t="s">
        <v>1820</v>
      </c>
      <c r="G43" s="5">
        <v>3.48</v>
      </c>
      <c r="H43" s="5">
        <v>6.49</v>
      </c>
      <c r="I43" s="5">
        <f>D43*G43</f>
        <v>1350.24</v>
      </c>
      <c r="J43" t="str">
        <f>IF(D43&lt;E43,"Sí","No")</f>
        <v>No</v>
      </c>
      <c r="K43" s="7">
        <f>IF(H43=0,0,(H43-G43)/H43)</f>
        <v>0.46379044684129433</v>
      </c>
    </row>
    <row r="44" spans="1:11">
      <c r="A44" t="s">
        <v>1821</v>
      </c>
      <c r="B44" t="s">
        <v>1822</v>
      </c>
      <c r="C44" t="s">
        <v>1714</v>
      </c>
      <c r="D44" s="6">
        <v>275</v>
      </c>
      <c r="E44">
        <v>10</v>
      </c>
      <c r="F44" t="s">
        <v>1823</v>
      </c>
      <c r="G44" s="5">
        <v>49.25</v>
      </c>
      <c r="H44" s="5">
        <v>102.82</v>
      </c>
      <c r="I44" s="5">
        <f>D44*G44</f>
        <v>13543.75</v>
      </c>
      <c r="J44" t="str">
        <f>IF(D44&lt;E44,"Sí","No")</f>
        <v>No</v>
      </c>
      <c r="K44" s="7">
        <f>IF(H44=0,0,(H44-G44)/H44)</f>
        <v>0.5210075860727484</v>
      </c>
    </row>
    <row r="45" spans="1:11">
      <c r="A45" t="s">
        <v>1824</v>
      </c>
      <c r="B45" t="s">
        <v>1825</v>
      </c>
      <c r="C45" t="s">
        <v>1702</v>
      </c>
      <c r="D45" s="6">
        <v>122</v>
      </c>
      <c r="E45">
        <v>10</v>
      </c>
      <c r="F45" t="s">
        <v>1826</v>
      </c>
      <c r="G45" s="5">
        <v>30.59</v>
      </c>
      <c r="H45" s="5">
        <v>63.75</v>
      </c>
      <c r="I45" s="5">
        <f>D45*G45</f>
        <v>3731.98</v>
      </c>
      <c r="J45" t="str">
        <f>IF(D45&lt;E45,"Sí","No")</f>
        <v>No</v>
      </c>
      <c r="K45" s="7">
        <f>IF(H45=0,0,(H45-G45)/H45)</f>
        <v>0.520156862745098</v>
      </c>
    </row>
    <row r="46" spans="1:11">
      <c r="A46" t="s">
        <v>1827</v>
      </c>
      <c r="B46" t="s">
        <v>1828</v>
      </c>
      <c r="C46" t="s">
        <v>1718</v>
      </c>
      <c r="D46" s="6">
        <v>154</v>
      </c>
      <c r="E46">
        <v>20</v>
      </c>
      <c r="F46" t="s">
        <v>1829</v>
      </c>
      <c r="G46" s="5">
        <v>3.19</v>
      </c>
      <c r="H46" s="5">
        <v>5.91</v>
      </c>
      <c r="I46" s="5">
        <f>D46*G46</f>
        <v>491.26</v>
      </c>
      <c r="J46" t="str">
        <f>IF(D46&lt;E46,"Sí","No")</f>
        <v>No</v>
      </c>
      <c r="K46" s="7">
        <f>IF(H46=0,0,(H46-G46)/H46)</f>
        <v>0.46023688663282575</v>
      </c>
    </row>
    <row r="47" spans="1:11">
      <c r="A47" t="s">
        <v>1830</v>
      </c>
      <c r="B47" t="s">
        <v>1831</v>
      </c>
      <c r="C47" t="s">
        <v>1710</v>
      </c>
      <c r="D47" s="6">
        <v>238</v>
      </c>
      <c r="E47">
        <v>50</v>
      </c>
      <c r="F47" t="s">
        <v>1765</v>
      </c>
      <c r="G47" s="5">
        <v>27.64</v>
      </c>
      <c r="H47" s="5">
        <v>36.5</v>
      </c>
      <c r="I47" s="5">
        <f>D47*G47</f>
        <v>6578.32</v>
      </c>
      <c r="J47" t="str">
        <f>IF(D47&lt;E47,"Sí","No")</f>
        <v>No</v>
      </c>
      <c r="K47" s="7">
        <f>IF(H47=0,0,(H47-G47)/H47)</f>
        <v>0.24273972602739724</v>
      </c>
    </row>
    <row r="48" spans="1:11">
      <c r="A48" t="s">
        <v>1832</v>
      </c>
      <c r="B48" t="s">
        <v>1833</v>
      </c>
      <c r="C48" t="s">
        <v>1714</v>
      </c>
      <c r="D48" s="6">
        <v>305</v>
      </c>
      <c r="E48">
        <v>25</v>
      </c>
      <c r="F48" t="s">
        <v>1782</v>
      </c>
      <c r="G48" s="5">
        <v>73.12</v>
      </c>
      <c r="H48" s="5">
        <v>97.91</v>
      </c>
      <c r="I48" s="5">
        <f>D48*G48</f>
        <v>22301.600000000002</v>
      </c>
      <c r="J48" t="str">
        <f>IF(D48&lt;E48,"Sí","No")</f>
        <v>No</v>
      </c>
      <c r="K48" s="7">
        <f>IF(H48=0,0,(H48-G48)/H48)</f>
        <v>0.25319170666939017</v>
      </c>
    </row>
    <row r="49" spans="1:11">
      <c r="A49" t="s">
        <v>1834</v>
      </c>
      <c r="B49" t="s">
        <v>1835</v>
      </c>
      <c r="C49" t="s">
        <v>1698</v>
      </c>
      <c r="D49" s="6">
        <v>394</v>
      </c>
      <c r="E49">
        <v>50</v>
      </c>
      <c r="F49" t="s">
        <v>1836</v>
      </c>
      <c r="G49" s="5">
        <v>50.25</v>
      </c>
      <c r="H49" s="5">
        <v>68.69</v>
      </c>
      <c r="I49" s="5">
        <f>D49*G49</f>
        <v>19798.5</v>
      </c>
      <c r="J49" t="str">
        <f>IF(D49&lt;E49,"Sí","No")</f>
        <v>No</v>
      </c>
      <c r="K49" s="7">
        <f>IF(H49=0,0,(H49-G49)/H49)</f>
        <v>0.2684524676080943</v>
      </c>
    </row>
    <row r="50" spans="1:11">
      <c r="A50" t="s">
        <v>1837</v>
      </c>
      <c r="B50" t="s">
        <v>1838</v>
      </c>
      <c r="C50" t="s">
        <v>1702</v>
      </c>
      <c r="D50" s="6">
        <v>143</v>
      </c>
      <c r="E50">
        <v>10</v>
      </c>
      <c r="F50" t="s">
        <v>1839</v>
      </c>
      <c r="G50" s="5">
        <v>26.27</v>
      </c>
      <c r="H50" s="5">
        <v>53.16</v>
      </c>
      <c r="I50" s="5">
        <f>D50*G50</f>
        <v>3756.61</v>
      </c>
      <c r="J50" t="str">
        <f>IF(D50&lt;E50,"Sí","No")</f>
        <v>No</v>
      </c>
      <c r="K50" s="7">
        <f>IF(H50=0,0,(H50-G50)/H50)</f>
        <v>0.505831452219714</v>
      </c>
    </row>
    <row r="51" spans="1:11">
      <c r="A51" t="s">
        <v>1840</v>
      </c>
      <c r="B51" t="s">
        <v>1841</v>
      </c>
      <c r="C51" t="s">
        <v>1698</v>
      </c>
      <c r="D51" s="6">
        <v>111</v>
      </c>
      <c r="E51">
        <v>50</v>
      </c>
      <c r="F51" t="s">
        <v>1842</v>
      </c>
      <c r="G51" s="5">
        <v>36.34</v>
      </c>
      <c r="H51" s="5">
        <v>54</v>
      </c>
      <c r="I51" s="5">
        <f>D51*G51</f>
        <v>4033.7400000000002</v>
      </c>
      <c r="J51" t="str">
        <f>IF(D51&lt;E51,"Sí","No")</f>
        <v>No</v>
      </c>
      <c r="K51" s="7">
        <f>IF(H51=0,0,(H51-G51)/H51)</f>
        <v>0.32703703703703696</v>
      </c>
    </row>
    <row r="52" spans="1:11">
      <c r="A52" t="s">
        <v>1843</v>
      </c>
      <c r="B52" t="s">
        <v>1844</v>
      </c>
      <c r="C52" t="s">
        <v>1706</v>
      </c>
      <c r="D52" s="6">
        <v>246</v>
      </c>
      <c r="E52">
        <v>10</v>
      </c>
      <c r="F52" t="s">
        <v>1845</v>
      </c>
      <c r="G52" s="5">
        <v>37.13</v>
      </c>
      <c r="H52" s="5">
        <v>61.08</v>
      </c>
      <c r="I52" s="5">
        <f>D52*G52</f>
        <v>9133.980000000001</v>
      </c>
      <c r="J52" t="str">
        <f>IF(D52&lt;E52,"Sí","No")</f>
        <v>No</v>
      </c>
      <c r="K52" s="7">
        <f>IF(H52=0,0,(H52-G52)/H52)</f>
        <v>0.3921087098886705</v>
      </c>
    </row>
    <row r="53" spans="1:11">
      <c r="A53" t="s">
        <v>1846</v>
      </c>
      <c r="B53" t="s">
        <v>1847</v>
      </c>
      <c r="C53" t="s">
        <v>1702</v>
      </c>
      <c r="D53" s="6">
        <v>271</v>
      </c>
      <c r="E53">
        <v>20</v>
      </c>
      <c r="F53" t="s">
        <v>1699</v>
      </c>
      <c r="G53" s="5">
        <v>76.19</v>
      </c>
      <c r="H53" s="5">
        <v>117.02</v>
      </c>
      <c r="I53" s="5">
        <f>D53*G53</f>
        <v>20647.489999999998</v>
      </c>
      <c r="J53" t="str">
        <f>IF(D53&lt;E53,"Sí","No")</f>
        <v>No</v>
      </c>
      <c r="K53" s="7">
        <f>IF(H53=0,0,(H53-G53)/H53)</f>
        <v>0.34891471543325925</v>
      </c>
    </row>
    <row r="54" spans="1:11">
      <c r="A54" t="s">
        <v>1848</v>
      </c>
      <c r="B54" t="s">
        <v>1849</v>
      </c>
      <c r="C54" t="s">
        <v>1698</v>
      </c>
      <c r="D54" s="6">
        <v>310</v>
      </c>
      <c r="E54">
        <v>25</v>
      </c>
      <c r="F54" t="s">
        <v>1850</v>
      </c>
      <c r="G54" s="5">
        <v>79.87</v>
      </c>
      <c r="H54" s="5">
        <v>103.08</v>
      </c>
      <c r="I54" s="5">
        <f>D54*G54</f>
        <v>24759.7</v>
      </c>
      <c r="J54" t="str">
        <f>IF(D54&lt;E54,"Sí","No")</f>
        <v>No</v>
      </c>
      <c r="K54" s="7">
        <f>IF(H54=0,0,(H54-G54)/H54)</f>
        <v>0.22516492045013575</v>
      </c>
    </row>
    <row r="55" spans="1:11">
      <c r="A55" t="s">
        <v>1851</v>
      </c>
      <c r="B55" t="s">
        <v>1852</v>
      </c>
      <c r="C55" t="s">
        <v>1698</v>
      </c>
      <c r="D55" s="6">
        <v>117</v>
      </c>
      <c r="E55">
        <v>10</v>
      </c>
      <c r="F55" t="s">
        <v>1853</v>
      </c>
      <c r="G55" s="5">
        <v>12.7</v>
      </c>
      <c r="H55" s="5">
        <v>26.06</v>
      </c>
      <c r="I55" s="5">
        <f>D55*G55</f>
        <v>1485.8999999999999</v>
      </c>
      <c r="J55" t="str">
        <f>IF(D55&lt;E55,"Sí","No")</f>
        <v>No</v>
      </c>
      <c r="K55" s="7">
        <f>IF(H55=0,0,(H55-G55)/H55)</f>
        <v>0.5126630851880276</v>
      </c>
    </row>
    <row r="56" spans="1:11">
      <c r="A56" t="s">
        <v>1854</v>
      </c>
      <c r="B56" t="s">
        <v>1855</v>
      </c>
      <c r="C56" t="s">
        <v>1702</v>
      </c>
      <c r="D56" s="6">
        <v>79</v>
      </c>
      <c r="E56">
        <v>50</v>
      </c>
      <c r="F56" t="s">
        <v>1817</v>
      </c>
      <c r="G56" s="5">
        <v>11.39</v>
      </c>
      <c r="H56" s="5">
        <v>22.19</v>
      </c>
      <c r="I56" s="5">
        <f>D56*G56</f>
        <v>899.8100000000001</v>
      </c>
      <c r="J56" t="str">
        <f>IF(D56&lt;E56,"Sí","No")</f>
        <v>No</v>
      </c>
      <c r="K56" s="7">
        <f>IF(H56=0,0,(H56-G56)/H56)</f>
        <v>0.48670572329878325</v>
      </c>
    </row>
    <row r="57" spans="1:11">
      <c r="A57" t="s">
        <v>1856</v>
      </c>
      <c r="B57" t="s">
        <v>1857</v>
      </c>
      <c r="C57" t="s">
        <v>1698</v>
      </c>
      <c r="D57" s="6">
        <v>286</v>
      </c>
      <c r="E57">
        <v>10</v>
      </c>
      <c r="F57" t="s">
        <v>1858</v>
      </c>
      <c r="G57" s="5">
        <v>42.49</v>
      </c>
      <c r="H57" s="5">
        <v>86.73</v>
      </c>
      <c r="I57" s="5">
        <f>D57*G57</f>
        <v>12152.140000000001</v>
      </c>
      <c r="J57" t="str">
        <f>IF(D57&lt;E57,"Sí","No")</f>
        <v>No</v>
      </c>
      <c r="K57" s="7">
        <f>IF(H57=0,0,(H57-G57)/H57)</f>
        <v>0.510088781275222</v>
      </c>
    </row>
    <row r="58" spans="1:11">
      <c r="A58" t="s">
        <v>1859</v>
      </c>
      <c r="B58" t="s">
        <v>1860</v>
      </c>
      <c r="C58" t="s">
        <v>1698</v>
      </c>
      <c r="D58" s="6">
        <v>355</v>
      </c>
      <c r="E58">
        <v>25</v>
      </c>
      <c r="F58" t="s">
        <v>1861</v>
      </c>
      <c r="G58" s="5">
        <v>68.56999999999999</v>
      </c>
      <c r="H58" s="5">
        <v>139.3</v>
      </c>
      <c r="I58" s="5">
        <f>D58*G58</f>
        <v>24342.35</v>
      </c>
      <c r="J58" t="str">
        <f>IF(D58&lt;E58,"Sí","No")</f>
        <v>No</v>
      </c>
      <c r="K58" s="7">
        <f>IF(H58=0,0,(H58-G58)/H58)</f>
        <v>0.5077530509691315</v>
      </c>
    </row>
    <row r="59" spans="1:11">
      <c r="A59" t="s">
        <v>1862</v>
      </c>
      <c r="B59" t="s">
        <v>1863</v>
      </c>
      <c r="C59" t="s">
        <v>1718</v>
      </c>
      <c r="D59" s="6">
        <v>222</v>
      </c>
      <c r="E59">
        <v>25</v>
      </c>
      <c r="F59" t="s">
        <v>1864</v>
      </c>
      <c r="G59" s="5">
        <v>50.35</v>
      </c>
      <c r="H59" s="5">
        <v>84.62</v>
      </c>
      <c r="I59" s="5">
        <f>D59*G59</f>
        <v>11177.7</v>
      </c>
      <c r="J59" t="str">
        <f>IF(D59&lt;E59,"Sí","No")</f>
        <v>No</v>
      </c>
      <c r="K59" s="7">
        <f>IF(H59=0,0,(H59-G59)/H59)</f>
        <v>0.40498700070905225</v>
      </c>
    </row>
    <row r="60" spans="1:11">
      <c r="A60" t="s">
        <v>1865</v>
      </c>
      <c r="B60" t="s">
        <v>1866</v>
      </c>
      <c r="C60" t="s">
        <v>1702</v>
      </c>
      <c r="D60" s="6">
        <v>124</v>
      </c>
      <c r="E60">
        <v>10</v>
      </c>
      <c r="F60" t="s">
        <v>1867</v>
      </c>
      <c r="G60" s="5">
        <v>38.57</v>
      </c>
      <c r="H60" s="5">
        <v>66.83</v>
      </c>
      <c r="I60" s="5">
        <f>D60*G60</f>
        <v>4782.68</v>
      </c>
      <c r="J60" t="str">
        <f>IF(D60&lt;E60,"Sí","No")</f>
        <v>No</v>
      </c>
      <c r="K60" s="7">
        <f>IF(H60=0,0,(H60-G60)/H60)</f>
        <v>0.4228639832410594</v>
      </c>
    </row>
    <row r="61" spans="1:11">
      <c r="A61" t="s">
        <v>1868</v>
      </c>
      <c r="B61" t="s">
        <v>1869</v>
      </c>
      <c r="C61" t="s">
        <v>1698</v>
      </c>
      <c r="D61" s="6">
        <v>330</v>
      </c>
      <c r="E61">
        <v>20</v>
      </c>
      <c r="F61" t="s">
        <v>1870</v>
      </c>
      <c r="G61" s="5">
        <v>8.460000000000001</v>
      </c>
      <c r="H61" s="5">
        <v>17.18</v>
      </c>
      <c r="I61" s="5">
        <f>D61*G61</f>
        <v>2791.8</v>
      </c>
      <c r="J61" t="str">
        <f>IF(D61&lt;E61,"Sí","No")</f>
        <v>No</v>
      </c>
      <c r="K61" s="7">
        <f>IF(H61=0,0,(H61-G61)/H61)</f>
        <v>0.5075669383003492</v>
      </c>
    </row>
    <row r="62" spans="1:11">
      <c r="A62" t="s">
        <v>1871</v>
      </c>
      <c r="B62" t="s">
        <v>1872</v>
      </c>
      <c r="C62" t="s">
        <v>1714</v>
      </c>
      <c r="D62" s="6">
        <v>56</v>
      </c>
      <c r="E62">
        <v>25</v>
      </c>
      <c r="F62" t="s">
        <v>1873</v>
      </c>
      <c r="G62" s="5">
        <v>59.32</v>
      </c>
      <c r="H62" s="5">
        <v>103.49</v>
      </c>
      <c r="I62" s="5">
        <f>D62*G62</f>
        <v>3321.92</v>
      </c>
      <c r="J62" t="str">
        <f>IF(D62&lt;E62,"Sí","No")</f>
        <v>No</v>
      </c>
      <c r="K62" s="7">
        <f>IF(H62=0,0,(H62-G62)/H62)</f>
        <v>0.42680452217605563</v>
      </c>
    </row>
    <row r="63" spans="1:11">
      <c r="A63" t="s">
        <v>1874</v>
      </c>
      <c r="B63" t="s">
        <v>1875</v>
      </c>
      <c r="C63" t="s">
        <v>1710</v>
      </c>
      <c r="D63" s="6">
        <v>349</v>
      </c>
      <c r="E63">
        <v>25</v>
      </c>
      <c r="F63" t="s">
        <v>1876</v>
      </c>
      <c r="G63" s="5">
        <v>6.66</v>
      </c>
      <c r="H63" s="5">
        <v>11.25</v>
      </c>
      <c r="I63" s="5">
        <f>D63*G63</f>
        <v>2324.34</v>
      </c>
      <c r="J63" t="str">
        <f>IF(D63&lt;E63,"Sí","No")</f>
        <v>No</v>
      </c>
      <c r="K63" s="7">
        <f>IF(H63=0,0,(H63-G63)/H63)</f>
        <v>0.408</v>
      </c>
    </row>
    <row r="64" spans="1:11">
      <c r="A64" t="s">
        <v>1877</v>
      </c>
      <c r="B64" t="s">
        <v>1878</v>
      </c>
      <c r="C64" t="s">
        <v>1718</v>
      </c>
      <c r="D64" s="6">
        <v>77</v>
      </c>
      <c r="E64">
        <v>10</v>
      </c>
      <c r="F64" t="s">
        <v>1879</v>
      </c>
      <c r="G64" s="5">
        <v>44.88</v>
      </c>
      <c r="H64" s="5">
        <v>90.14</v>
      </c>
      <c r="I64" s="5">
        <f>D64*G64</f>
        <v>3455.76</v>
      </c>
      <c r="J64" t="str">
        <f>IF(D64&lt;E64,"Sí","No")</f>
        <v>No</v>
      </c>
      <c r="K64" s="7">
        <f>IF(H64=0,0,(H64-G64)/H64)</f>
        <v>0.5021078322609274</v>
      </c>
    </row>
    <row r="65" spans="1:11">
      <c r="A65" t="s">
        <v>1880</v>
      </c>
      <c r="B65" t="s">
        <v>1881</v>
      </c>
      <c r="C65" t="s">
        <v>1714</v>
      </c>
      <c r="D65" s="6">
        <v>190</v>
      </c>
      <c r="E65">
        <v>50</v>
      </c>
      <c r="F65" t="s">
        <v>1882</v>
      </c>
      <c r="G65" s="5">
        <v>40.2</v>
      </c>
      <c r="H65" s="5">
        <v>82.23</v>
      </c>
      <c r="I65" s="5">
        <f>D65*G65</f>
        <v>7638.000000000001</v>
      </c>
      <c r="J65" t="str">
        <f>IF(D65&lt;E65,"Sí","No")</f>
        <v>No</v>
      </c>
      <c r="K65" s="7">
        <f>IF(H65=0,0,(H65-G65)/H65)</f>
        <v>0.5111273257935061</v>
      </c>
    </row>
    <row r="66" spans="1:11">
      <c r="A66" t="s">
        <v>1883</v>
      </c>
      <c r="B66" t="s">
        <v>1884</v>
      </c>
      <c r="C66" t="s">
        <v>1710</v>
      </c>
      <c r="D66" s="6">
        <v>119</v>
      </c>
      <c r="E66">
        <v>10</v>
      </c>
      <c r="F66" t="s">
        <v>1885</v>
      </c>
      <c r="G66" s="5">
        <v>23.7</v>
      </c>
      <c r="H66" s="5">
        <v>42.21</v>
      </c>
      <c r="I66" s="5">
        <f>D66*G66</f>
        <v>2820.2999999999997</v>
      </c>
      <c r="J66" t="str">
        <f>IF(D66&lt;E66,"Sí","No")</f>
        <v>No</v>
      </c>
      <c r="K66" s="7">
        <f>IF(H66=0,0,(H66-G66)/H66)</f>
        <v>0.4385216773276475</v>
      </c>
    </row>
    <row r="67" spans="1:11">
      <c r="A67" t="s">
        <v>1886</v>
      </c>
      <c r="B67" t="s">
        <v>1887</v>
      </c>
      <c r="C67" t="s">
        <v>1718</v>
      </c>
      <c r="D67" s="6">
        <v>273</v>
      </c>
      <c r="E67">
        <v>50</v>
      </c>
      <c r="F67" t="s">
        <v>1888</v>
      </c>
      <c r="G67" s="5">
        <v>22.24</v>
      </c>
      <c r="H67" s="5">
        <v>46.38</v>
      </c>
      <c r="I67" s="5">
        <f>D67*G67</f>
        <v>6071.5199999999995</v>
      </c>
      <c r="J67" t="str">
        <f>IF(D67&lt;E67,"Sí","No")</f>
        <v>No</v>
      </c>
      <c r="K67" s="7">
        <f>IF(H67=0,0,(H67-G67)/H67)</f>
        <v>0.5204829667960328</v>
      </c>
    </row>
    <row r="68" spans="1:11">
      <c r="A68" t="s">
        <v>1889</v>
      </c>
      <c r="B68" t="s">
        <v>1890</v>
      </c>
      <c r="C68" t="s">
        <v>1702</v>
      </c>
      <c r="D68" s="6">
        <v>187</v>
      </c>
      <c r="E68">
        <v>50</v>
      </c>
      <c r="F68" t="s">
        <v>1891</v>
      </c>
      <c r="G68" s="5">
        <v>37.29</v>
      </c>
      <c r="H68" s="5">
        <v>71.64</v>
      </c>
      <c r="I68" s="5">
        <f>D68*G68</f>
        <v>6973.23</v>
      </c>
      <c r="J68" t="str">
        <f>IF(D68&lt;E68,"Sí","No")</f>
        <v>No</v>
      </c>
      <c r="K68" s="7">
        <f>IF(H68=0,0,(H68-G68)/H68)</f>
        <v>0.4794807370184255</v>
      </c>
    </row>
    <row r="69" spans="1:11">
      <c r="A69" t="s">
        <v>1892</v>
      </c>
      <c r="B69" t="s">
        <v>1893</v>
      </c>
      <c r="C69" t="s">
        <v>1698</v>
      </c>
      <c r="D69" s="6">
        <v>97</v>
      </c>
      <c r="E69">
        <v>20</v>
      </c>
      <c r="F69" t="s">
        <v>1894</v>
      </c>
      <c r="G69" s="5">
        <v>49.18</v>
      </c>
      <c r="H69" s="5">
        <v>100.58</v>
      </c>
      <c r="I69" s="5">
        <f>D69*G69</f>
        <v>4770.46</v>
      </c>
      <c r="J69" t="str">
        <f>IF(D69&lt;E69,"Sí","No")</f>
        <v>No</v>
      </c>
      <c r="K69" s="7">
        <f>IF(H69=0,0,(H69-G69)/H69)</f>
        <v>0.5110359912507457</v>
      </c>
    </row>
    <row r="70" spans="1:11">
      <c r="A70" t="s">
        <v>1895</v>
      </c>
      <c r="B70" t="s">
        <v>1896</v>
      </c>
      <c r="C70" t="s">
        <v>1698</v>
      </c>
      <c r="D70" s="6">
        <v>160</v>
      </c>
      <c r="E70">
        <v>20</v>
      </c>
      <c r="F70" t="s">
        <v>1805</v>
      </c>
      <c r="G70" s="5">
        <v>71.41</v>
      </c>
      <c r="H70" s="5">
        <v>109.43</v>
      </c>
      <c r="I70" s="5">
        <f>D70*G70</f>
        <v>11425.599999999999</v>
      </c>
      <c r="J70" t="str">
        <f>IF(D70&lt;E70,"Sí","No")</f>
        <v>No</v>
      </c>
      <c r="K70" s="7">
        <f>IF(H70=0,0,(H70-G70)/H70)</f>
        <v>0.34743671753632466</v>
      </c>
    </row>
    <row r="71" spans="1:11">
      <c r="A71" t="s">
        <v>1897</v>
      </c>
      <c r="B71" t="s">
        <v>1898</v>
      </c>
      <c r="C71" t="s">
        <v>1698</v>
      </c>
      <c r="D71" s="6">
        <v>399</v>
      </c>
      <c r="E71">
        <v>50</v>
      </c>
      <c r="F71" t="s">
        <v>1823</v>
      </c>
      <c r="G71" s="5">
        <v>28.7</v>
      </c>
      <c r="H71" s="5">
        <v>56.93</v>
      </c>
      <c r="I71" s="5">
        <f>D71*G71</f>
        <v>11451.3</v>
      </c>
      <c r="J71" t="str">
        <f>IF(D71&lt;E71,"Sí","No")</f>
        <v>No</v>
      </c>
      <c r="K71" s="7">
        <f>IF(H71=0,0,(H71-G71)/H71)</f>
        <v>0.4958721236606359</v>
      </c>
    </row>
    <row r="72" spans="1:11">
      <c r="A72" t="s">
        <v>1899</v>
      </c>
      <c r="B72" t="s">
        <v>1900</v>
      </c>
      <c r="C72" t="s">
        <v>1702</v>
      </c>
      <c r="D72" s="6">
        <v>247</v>
      </c>
      <c r="E72">
        <v>20</v>
      </c>
      <c r="F72" t="s">
        <v>1901</v>
      </c>
      <c r="G72" s="5">
        <v>67.19</v>
      </c>
      <c r="H72" s="5">
        <v>115.27</v>
      </c>
      <c r="I72" s="5">
        <f>D72*G72</f>
        <v>16595.93</v>
      </c>
      <c r="J72" t="str">
        <f>IF(D72&lt;E72,"Sí","No")</f>
        <v>No</v>
      </c>
      <c r="K72" s="7">
        <f>IF(H72=0,0,(H72-G72)/H72)</f>
        <v>0.41710766027587404</v>
      </c>
    </row>
    <row r="73" spans="1:11">
      <c r="A73" t="s">
        <v>1902</v>
      </c>
      <c r="B73" t="s">
        <v>1903</v>
      </c>
      <c r="C73" t="s">
        <v>1718</v>
      </c>
      <c r="D73" s="6">
        <v>306</v>
      </c>
      <c r="E73">
        <v>25</v>
      </c>
      <c r="F73" t="s">
        <v>1904</v>
      </c>
      <c r="G73" s="5">
        <v>25.85</v>
      </c>
      <c r="H73" s="5">
        <v>46.17</v>
      </c>
      <c r="I73" s="5">
        <f>D73*G73</f>
        <v>7910.1</v>
      </c>
      <c r="J73" t="str">
        <f>IF(D73&lt;E73,"Sí","No")</f>
        <v>No</v>
      </c>
      <c r="K73" s="7">
        <f>IF(H73=0,0,(H73-G73)/H73)</f>
        <v>0.4401126272471302</v>
      </c>
    </row>
    <row r="74" spans="1:11">
      <c r="A74" t="s">
        <v>1905</v>
      </c>
      <c r="B74" t="s">
        <v>1906</v>
      </c>
      <c r="C74" t="s">
        <v>1702</v>
      </c>
      <c r="D74" s="6">
        <v>171</v>
      </c>
      <c r="E74">
        <v>10</v>
      </c>
      <c r="F74" t="s">
        <v>1754</v>
      </c>
      <c r="G74" s="5">
        <v>35.85</v>
      </c>
      <c r="H74" s="5">
        <v>47.2</v>
      </c>
      <c r="I74" s="5">
        <f>D74*G74</f>
        <v>6130.35</v>
      </c>
      <c r="J74" t="str">
        <f>IF(D74&lt;E74,"Sí","No")</f>
        <v>No</v>
      </c>
      <c r="K74" s="7">
        <f>IF(H74=0,0,(H74-G74)/H74)</f>
        <v>0.24046610169491528</v>
      </c>
    </row>
    <row r="75" spans="1:11">
      <c r="A75" t="s">
        <v>1907</v>
      </c>
      <c r="B75" t="s">
        <v>1908</v>
      </c>
      <c r="C75" t="s">
        <v>1714</v>
      </c>
      <c r="D75" s="6">
        <v>242</v>
      </c>
      <c r="E75">
        <v>25</v>
      </c>
      <c r="F75" t="s">
        <v>1909</v>
      </c>
      <c r="G75" s="5">
        <v>72.11</v>
      </c>
      <c r="H75" s="5">
        <v>127.31</v>
      </c>
      <c r="I75" s="5">
        <f>D75*G75</f>
        <v>17450.62</v>
      </c>
      <c r="J75" t="str">
        <f>IF(D75&lt;E75,"Sí","No")</f>
        <v>No</v>
      </c>
      <c r="K75" s="7">
        <f>IF(H75=0,0,(H75-G75)/H75)</f>
        <v>0.4335873065745032</v>
      </c>
    </row>
    <row r="76" spans="1:11">
      <c r="A76" t="s">
        <v>1910</v>
      </c>
      <c r="B76" t="s">
        <v>1819</v>
      </c>
      <c r="C76" t="s">
        <v>1714</v>
      </c>
      <c r="D76" s="6">
        <v>363</v>
      </c>
      <c r="E76">
        <v>10</v>
      </c>
      <c r="F76" t="s">
        <v>1911</v>
      </c>
      <c r="G76" s="5">
        <v>25.1</v>
      </c>
      <c r="H76" s="5">
        <v>49.34</v>
      </c>
      <c r="I76" s="5">
        <f>D76*G76</f>
        <v>9111.300000000001</v>
      </c>
      <c r="J76" t="str">
        <f>IF(D76&lt;E76,"Sí","No")</f>
        <v>No</v>
      </c>
      <c r="K76" s="7">
        <f>IF(H76=0,0,(H76-G76)/H76)</f>
        <v>0.4912849614916903</v>
      </c>
    </row>
    <row r="77" spans="1:11">
      <c r="A77" t="s">
        <v>1912</v>
      </c>
      <c r="B77" t="s">
        <v>1913</v>
      </c>
      <c r="C77" t="s">
        <v>1706</v>
      </c>
      <c r="D77" s="6">
        <v>223</v>
      </c>
      <c r="E77">
        <v>10</v>
      </c>
      <c r="F77" t="s">
        <v>1914</v>
      </c>
      <c r="G77" s="5">
        <v>61.5</v>
      </c>
      <c r="H77" s="5">
        <v>87.01000000000001</v>
      </c>
      <c r="I77" s="5">
        <f>D77*G77</f>
        <v>13714.5</v>
      </c>
      <c r="J77" t="str">
        <f>IF(D77&lt;E77,"Sí","No")</f>
        <v>No</v>
      </c>
      <c r="K77" s="7">
        <f>IF(H77=0,0,(H77-G77)/H77)</f>
        <v>0.29318469141477993</v>
      </c>
    </row>
    <row r="78" spans="1:11">
      <c r="A78" t="s">
        <v>1915</v>
      </c>
      <c r="B78" t="s">
        <v>1916</v>
      </c>
      <c r="C78" t="s">
        <v>1698</v>
      </c>
      <c r="D78" s="6">
        <v>33</v>
      </c>
      <c r="E78">
        <v>20</v>
      </c>
      <c r="F78" t="s">
        <v>1917</v>
      </c>
      <c r="G78" s="5">
        <v>71.38</v>
      </c>
      <c r="H78" s="5">
        <v>147.7</v>
      </c>
      <c r="I78" s="5">
        <f>D78*G78</f>
        <v>2355.54</v>
      </c>
      <c r="J78" t="str">
        <f>IF(D78&lt;E78,"Sí","No")</f>
        <v>No</v>
      </c>
      <c r="K78" s="7">
        <f>IF(H78=0,0,(H78-G78)/H78)</f>
        <v>0.516723087339201</v>
      </c>
    </row>
    <row r="79" spans="1:11">
      <c r="A79" t="s">
        <v>1918</v>
      </c>
      <c r="B79" t="s">
        <v>1919</v>
      </c>
      <c r="C79" t="s">
        <v>1714</v>
      </c>
      <c r="D79" s="6">
        <v>33</v>
      </c>
      <c r="E79">
        <v>25</v>
      </c>
      <c r="F79" t="s">
        <v>1870</v>
      </c>
      <c r="G79" s="5">
        <v>22.91</v>
      </c>
      <c r="H79" s="5">
        <v>45.09</v>
      </c>
      <c r="I79" s="5">
        <f>D79*G79</f>
        <v>756.03</v>
      </c>
      <c r="J79" t="str">
        <f>IF(D79&lt;E79,"Sí","No")</f>
        <v>No</v>
      </c>
      <c r="K79" s="7">
        <f>IF(H79=0,0,(H79-G79)/H79)</f>
        <v>0.4919050787314261</v>
      </c>
    </row>
    <row r="80" spans="1:11">
      <c r="A80" t="s">
        <v>1920</v>
      </c>
      <c r="B80" t="s">
        <v>1921</v>
      </c>
      <c r="C80" t="s">
        <v>1706</v>
      </c>
      <c r="D80" s="6">
        <v>237</v>
      </c>
      <c r="E80">
        <v>10</v>
      </c>
      <c r="F80" t="s">
        <v>1922</v>
      </c>
      <c r="G80" s="5">
        <v>22.89</v>
      </c>
      <c r="H80" s="5">
        <v>36.96</v>
      </c>
      <c r="I80" s="5">
        <f>D80*G80</f>
        <v>5424.93</v>
      </c>
      <c r="J80" t="str">
        <f>IF(D80&lt;E80,"Sí","No")</f>
        <v>No</v>
      </c>
      <c r="K80" s="7">
        <f>IF(H80=0,0,(H80-G80)/H80)</f>
        <v>0.3806818181818182</v>
      </c>
    </row>
    <row r="81" spans="1:11">
      <c r="A81" t="s">
        <v>1923</v>
      </c>
      <c r="B81" t="s">
        <v>1924</v>
      </c>
      <c r="C81" t="s">
        <v>1710</v>
      </c>
      <c r="D81" s="6">
        <v>230</v>
      </c>
      <c r="E81">
        <v>20</v>
      </c>
      <c r="F81" t="s">
        <v>1925</v>
      </c>
      <c r="G81" s="5">
        <v>80.20999999999999</v>
      </c>
      <c r="H81" s="5">
        <v>127.91</v>
      </c>
      <c r="I81" s="5">
        <f>D81*G81</f>
        <v>18448.3</v>
      </c>
      <c r="J81" t="str">
        <f>IF(D81&lt;E81,"Sí","No")</f>
        <v>No</v>
      </c>
      <c r="K81" s="7">
        <f>IF(H81=0,0,(H81-G81)/H81)</f>
        <v>0.37291845829098585</v>
      </c>
    </row>
    <row r="82" spans="1:11">
      <c r="A82" t="s">
        <v>1926</v>
      </c>
      <c r="B82" t="s">
        <v>1927</v>
      </c>
      <c r="C82" t="s">
        <v>1714</v>
      </c>
      <c r="D82" s="6">
        <v>82</v>
      </c>
      <c r="E82">
        <v>50</v>
      </c>
      <c r="F82" t="s">
        <v>1796</v>
      </c>
      <c r="G82" s="5">
        <v>65.94</v>
      </c>
      <c r="H82" s="5">
        <v>123.41</v>
      </c>
      <c r="I82" s="5">
        <f>D82*G82</f>
        <v>5407.08</v>
      </c>
      <c r="J82" t="str">
        <f>IF(D82&lt;E82,"Sí","No")</f>
        <v>No</v>
      </c>
      <c r="K82" s="7">
        <f>IF(H82=0,0,(H82-G82)/H82)</f>
        <v>0.46568349404424275</v>
      </c>
    </row>
    <row r="83" spans="1:11">
      <c r="A83" t="s">
        <v>1928</v>
      </c>
      <c r="B83" t="s">
        <v>1929</v>
      </c>
      <c r="C83" t="s">
        <v>1710</v>
      </c>
      <c r="D83" s="6">
        <v>208</v>
      </c>
      <c r="E83">
        <v>25</v>
      </c>
      <c r="F83" t="s">
        <v>1930</v>
      </c>
      <c r="G83" s="5">
        <v>43.39</v>
      </c>
      <c r="H83" s="5">
        <v>72.81</v>
      </c>
      <c r="I83" s="5">
        <f>D83*G83</f>
        <v>9025.12</v>
      </c>
      <c r="J83" t="str">
        <f>IF(D83&lt;E83,"Sí","No")</f>
        <v>No</v>
      </c>
      <c r="K83" s="7">
        <f>IF(H83=0,0,(H83-G83)/H83)</f>
        <v>0.40406537563521494</v>
      </c>
    </row>
    <row r="84" spans="1:11">
      <c r="A84" t="s">
        <v>1931</v>
      </c>
      <c r="B84" t="s">
        <v>1932</v>
      </c>
      <c r="C84" t="s">
        <v>1718</v>
      </c>
      <c r="D84" s="6">
        <v>214</v>
      </c>
      <c r="E84">
        <v>50</v>
      </c>
      <c r="F84" t="s">
        <v>1876</v>
      </c>
      <c r="G84" s="5">
        <v>22.52</v>
      </c>
      <c r="H84" s="5">
        <v>30.22</v>
      </c>
      <c r="I84" s="5">
        <f>D84*G84</f>
        <v>4819.28</v>
      </c>
      <c r="J84" t="str">
        <f>IF(D84&lt;E84,"Sí","No")</f>
        <v>No</v>
      </c>
      <c r="K84" s="7">
        <f>IF(H84=0,0,(H84-G84)/H84)</f>
        <v>0.2547981469225678</v>
      </c>
    </row>
    <row r="85" spans="1:11">
      <c r="A85" t="s">
        <v>1933</v>
      </c>
      <c r="B85" t="s">
        <v>1934</v>
      </c>
      <c r="C85" t="s">
        <v>1710</v>
      </c>
      <c r="D85" s="6">
        <v>0</v>
      </c>
      <c r="E85">
        <v>50</v>
      </c>
      <c r="F85" t="s">
        <v>1935</v>
      </c>
      <c r="G85" s="5">
        <v>13.49</v>
      </c>
      <c r="H85" s="5">
        <v>21.93</v>
      </c>
      <c r="I85" s="5">
        <f>D85*G85</f>
        <v>0.0</v>
      </c>
      <c r="J85" t="str">
        <f>IF(D85&lt;E85,"Sí","No")</f>
        <v>Sí</v>
      </c>
      <c r="K85" s="7">
        <f>IF(H85=0,0,(H85-G85)/H85)</f>
        <v>0.3848609211126311</v>
      </c>
    </row>
    <row r="86" spans="1:11">
      <c r="A86" t="s">
        <v>1936</v>
      </c>
      <c r="B86" t="s">
        <v>1937</v>
      </c>
      <c r="C86" t="s">
        <v>1698</v>
      </c>
      <c r="D86" s="6">
        <v>18</v>
      </c>
      <c r="E86">
        <v>25</v>
      </c>
      <c r="F86" t="s">
        <v>1768</v>
      </c>
      <c r="G86" s="5">
        <v>60.82</v>
      </c>
      <c r="H86" s="5">
        <v>113.43</v>
      </c>
      <c r="I86" s="5">
        <f>D86*G86</f>
        <v>1094.76</v>
      </c>
      <c r="J86" t="str">
        <f>IF(D86&lt;E86,"Sí","No")</f>
        <v>Sí</v>
      </c>
      <c r="K86" s="7">
        <f>IF(H86=0,0,(H86-G86)/H86)</f>
        <v>0.463810279467513</v>
      </c>
    </row>
    <row r="87" spans="1:11">
      <c r="A87" t="s">
        <v>1938</v>
      </c>
      <c r="B87" t="s">
        <v>1939</v>
      </c>
      <c r="C87" t="s">
        <v>1702</v>
      </c>
      <c r="D87" s="6">
        <v>341</v>
      </c>
      <c r="E87">
        <v>50</v>
      </c>
      <c r="F87" t="s">
        <v>1940</v>
      </c>
      <c r="G87" s="5">
        <v>30.15</v>
      </c>
      <c r="H87" s="5">
        <v>51.48</v>
      </c>
      <c r="I87" s="5">
        <f>D87*G87</f>
        <v>10281.15</v>
      </c>
      <c r="J87" t="str">
        <f>IF(D87&lt;E87,"Sí","No")</f>
        <v>No</v>
      </c>
      <c r="K87" s="7">
        <f>IF(H87=0,0,(H87-G87)/H87)</f>
        <v>0.4143356643356643</v>
      </c>
    </row>
    <row r="88" spans="1:11">
      <c r="A88" t="s">
        <v>1941</v>
      </c>
      <c r="B88" t="s">
        <v>1942</v>
      </c>
      <c r="C88" t="s">
        <v>1718</v>
      </c>
      <c r="D88" s="6">
        <v>11</v>
      </c>
      <c r="E88">
        <v>10</v>
      </c>
      <c r="F88" t="s">
        <v>1743</v>
      </c>
      <c r="G88" s="5">
        <v>12.93</v>
      </c>
      <c r="H88" s="5">
        <v>25.75</v>
      </c>
      <c r="I88" s="5">
        <f>D88*G88</f>
        <v>142.23</v>
      </c>
      <c r="J88" t="str">
        <f>IF(D88&lt;E88,"Sí","No")</f>
        <v>No</v>
      </c>
      <c r="K88" s="7">
        <f>IF(H88=0,0,(H88-G88)/H88)</f>
        <v>0.4978640776699029</v>
      </c>
    </row>
    <row r="89" spans="1:11">
      <c r="A89" t="s">
        <v>1943</v>
      </c>
      <c r="B89" t="s">
        <v>1944</v>
      </c>
      <c r="C89" t="s">
        <v>1714</v>
      </c>
      <c r="D89" s="6">
        <v>380</v>
      </c>
      <c r="E89">
        <v>10</v>
      </c>
      <c r="F89" t="s">
        <v>1757</v>
      </c>
      <c r="G89" s="5">
        <v>3.63</v>
      </c>
      <c r="H89" s="5">
        <v>4.76</v>
      </c>
      <c r="I89" s="5">
        <f>D89*G89</f>
        <v>1379.3999999999999</v>
      </c>
      <c r="J89" t="str">
        <f>IF(D89&lt;E89,"Sí","No")</f>
        <v>No</v>
      </c>
      <c r="K89" s="7">
        <f>IF(H89=0,0,(H89-G89)/H89)</f>
        <v>0.23739495798319327</v>
      </c>
    </row>
    <row r="90" spans="1:11">
      <c r="A90" t="s">
        <v>1945</v>
      </c>
      <c r="B90" t="s">
        <v>1946</v>
      </c>
      <c r="C90" t="s">
        <v>1718</v>
      </c>
      <c r="D90" s="6">
        <v>240</v>
      </c>
      <c r="E90">
        <v>25</v>
      </c>
      <c r="F90" t="s">
        <v>1771</v>
      </c>
      <c r="G90" s="5">
        <v>9.76</v>
      </c>
      <c r="H90" s="5">
        <v>16.27</v>
      </c>
      <c r="I90" s="5">
        <f>D90*G90</f>
        <v>2342.4</v>
      </c>
      <c r="J90" t="str">
        <f>IF(D90&lt;E90,"Sí","No")</f>
        <v>No</v>
      </c>
      <c r="K90" s="7">
        <f>IF(H90=0,0,(H90-G90)/H90)</f>
        <v>0.40012292562999385</v>
      </c>
    </row>
    <row r="91" spans="1:11">
      <c r="A91" t="s">
        <v>1947</v>
      </c>
      <c r="B91" t="s">
        <v>1948</v>
      </c>
      <c r="C91" t="s">
        <v>1706</v>
      </c>
      <c r="D91" s="6">
        <v>388</v>
      </c>
      <c r="E91">
        <v>10</v>
      </c>
      <c r="F91" t="s">
        <v>1949</v>
      </c>
      <c r="G91" s="5">
        <v>46.67</v>
      </c>
      <c r="H91" s="5">
        <v>63.58</v>
      </c>
      <c r="I91" s="5">
        <f>D91*G91</f>
        <v>18107.96</v>
      </c>
      <c r="J91" t="str">
        <f>IF(D91&lt;E91,"Sí","No")</f>
        <v>No</v>
      </c>
      <c r="K91" s="7">
        <f>IF(H91=0,0,(H91-G91)/H91)</f>
        <v>0.26596413966656174</v>
      </c>
    </row>
    <row r="92" spans="1:11">
      <c r="A92" t="s">
        <v>1950</v>
      </c>
      <c r="B92" t="s">
        <v>1951</v>
      </c>
      <c r="C92" t="s">
        <v>1698</v>
      </c>
      <c r="D92" s="6">
        <v>383</v>
      </c>
      <c r="E92">
        <v>25</v>
      </c>
      <c r="F92" t="s">
        <v>1952</v>
      </c>
      <c r="G92" s="5">
        <v>66.29000000000001</v>
      </c>
      <c r="H92" s="5">
        <v>135.01</v>
      </c>
      <c r="I92" s="5">
        <f>D92*G92</f>
        <v>25389.070000000003</v>
      </c>
      <c r="J92" t="str">
        <f>IF(D92&lt;E92,"Sí","No")</f>
        <v>No</v>
      </c>
      <c r="K92" s="7">
        <f>IF(H92=0,0,(H92-G92)/H92)</f>
        <v>0.5089993333827123</v>
      </c>
    </row>
    <row r="93" spans="1:11">
      <c r="A93" t="s">
        <v>1953</v>
      </c>
      <c r="B93" t="s">
        <v>1954</v>
      </c>
      <c r="C93" t="s">
        <v>1702</v>
      </c>
      <c r="D93" s="6">
        <v>209</v>
      </c>
      <c r="E93">
        <v>10</v>
      </c>
      <c r="F93" t="s">
        <v>1955</v>
      </c>
      <c r="G93" s="5">
        <v>54.68</v>
      </c>
      <c r="H93" s="5">
        <v>83.56</v>
      </c>
      <c r="I93" s="5">
        <f>D93*G93</f>
        <v>11428.12</v>
      </c>
      <c r="J93" t="str">
        <f>IF(D93&lt;E93,"Sí","No")</f>
        <v>No</v>
      </c>
      <c r="K93" s="7">
        <f>IF(H93=0,0,(H93-G93)/H93)</f>
        <v>0.3456199138343705</v>
      </c>
    </row>
    <row r="94" spans="1:11">
      <c r="A94" t="s">
        <v>1956</v>
      </c>
      <c r="B94" t="s">
        <v>1957</v>
      </c>
      <c r="C94" t="s">
        <v>1698</v>
      </c>
      <c r="D94" s="6">
        <v>194</v>
      </c>
      <c r="E94">
        <v>20</v>
      </c>
      <c r="F94" t="s">
        <v>1958</v>
      </c>
      <c r="G94" s="5">
        <v>55.16</v>
      </c>
      <c r="H94" s="5">
        <v>106.18</v>
      </c>
      <c r="I94" s="5">
        <f>D94*G94</f>
        <v>10701.039999999999</v>
      </c>
      <c r="J94" t="str">
        <f>IF(D94&lt;E94,"Sí","No")</f>
        <v>No</v>
      </c>
      <c r="K94" s="7">
        <f>IF(H94=0,0,(H94-G94)/H94)</f>
        <v>0.48050480316443783</v>
      </c>
    </row>
    <row r="95" spans="1:11">
      <c r="A95" t="s">
        <v>1959</v>
      </c>
      <c r="B95" t="s">
        <v>1960</v>
      </c>
      <c r="C95" t="s">
        <v>1702</v>
      </c>
      <c r="D95" s="6">
        <v>146</v>
      </c>
      <c r="E95">
        <v>10</v>
      </c>
      <c r="F95" t="s">
        <v>1961</v>
      </c>
      <c r="G95" s="5">
        <v>61.4</v>
      </c>
      <c r="H95" s="5">
        <v>96.65000000000001</v>
      </c>
      <c r="I95" s="5">
        <f>D95*G95</f>
        <v>8964.4</v>
      </c>
      <c r="J95" t="str">
        <f>IF(D95&lt;E95,"Sí","No")</f>
        <v>No</v>
      </c>
      <c r="K95" s="7">
        <f>IF(H95=0,0,(H95-G95)/H95)</f>
        <v>0.3647180548370409</v>
      </c>
    </row>
    <row r="96" spans="1:11">
      <c r="A96" t="s">
        <v>1962</v>
      </c>
      <c r="B96" t="s">
        <v>1963</v>
      </c>
      <c r="C96" t="s">
        <v>1710</v>
      </c>
      <c r="D96" s="6">
        <v>334</v>
      </c>
      <c r="E96">
        <v>25</v>
      </c>
      <c r="F96" t="s">
        <v>1826</v>
      </c>
      <c r="G96" s="5">
        <v>60.83</v>
      </c>
      <c r="H96" s="5">
        <v>94.98999999999999</v>
      </c>
      <c r="I96" s="5">
        <f>D96*G96</f>
        <v>20317.22</v>
      </c>
      <c r="J96" t="str">
        <f>IF(D96&lt;E96,"Sí","No")</f>
        <v>No</v>
      </c>
      <c r="K96" s="7">
        <f>IF(H96=0,0,(H96-G96)/H96)</f>
        <v>0.3596168017686072</v>
      </c>
    </row>
    <row r="97" spans="1:11">
      <c r="A97" t="s">
        <v>1964</v>
      </c>
      <c r="B97" t="s">
        <v>1965</v>
      </c>
      <c r="C97" t="s">
        <v>1714</v>
      </c>
      <c r="D97" s="6">
        <v>153</v>
      </c>
      <c r="E97">
        <v>25</v>
      </c>
      <c r="F97" t="s">
        <v>1966</v>
      </c>
      <c r="G97" s="5">
        <v>12.19</v>
      </c>
      <c r="H97" s="5">
        <v>22.62</v>
      </c>
      <c r="I97" s="5">
        <f>D97*G97</f>
        <v>1865.07</v>
      </c>
      <c r="J97" t="str">
        <f>IF(D97&lt;E97,"Sí","No")</f>
        <v>No</v>
      </c>
      <c r="K97" s="7">
        <f>IF(H97=0,0,(H97-G97)/H97)</f>
        <v>0.4610963748894784</v>
      </c>
    </row>
    <row r="98" spans="1:11">
      <c r="A98" t="s">
        <v>1967</v>
      </c>
      <c r="B98" t="s">
        <v>1968</v>
      </c>
      <c r="C98" t="s">
        <v>1706</v>
      </c>
      <c r="D98" s="6">
        <v>219</v>
      </c>
      <c r="E98">
        <v>20</v>
      </c>
      <c r="F98" t="s">
        <v>1768</v>
      </c>
      <c r="G98" s="5">
        <v>63.52</v>
      </c>
      <c r="H98" s="5">
        <v>108.59</v>
      </c>
      <c r="I98" s="5">
        <f>D98*G98</f>
        <v>13910.880000000001</v>
      </c>
      <c r="J98" t="str">
        <f>IF(D98&lt;E98,"Sí","No")</f>
        <v>No</v>
      </c>
      <c r="K98" s="7">
        <f>IF(H98=0,0,(H98-G98)/H98)</f>
        <v>0.4150474260981674</v>
      </c>
    </row>
    <row r="99" spans="1:11">
      <c r="A99" t="s">
        <v>1969</v>
      </c>
      <c r="B99" t="s">
        <v>1970</v>
      </c>
      <c r="C99" t="s">
        <v>1710</v>
      </c>
      <c r="D99" s="6">
        <v>399</v>
      </c>
      <c r="E99">
        <v>10</v>
      </c>
      <c r="F99" t="s">
        <v>1885</v>
      </c>
      <c r="G99" s="5">
        <v>27.67</v>
      </c>
      <c r="H99" s="5">
        <v>52.96</v>
      </c>
      <c r="I99" s="5">
        <f>D99*G99</f>
        <v>11040.33</v>
      </c>
      <c r="J99" t="str">
        <f>IF(D99&lt;E99,"Sí","No")</f>
        <v>No</v>
      </c>
      <c r="K99" s="7">
        <f>IF(H99=0,0,(H99-G99)/H99)</f>
        <v>0.4775302114803625</v>
      </c>
    </row>
    <row r="100" spans="1:11">
      <c r="A100" t="s">
        <v>1971</v>
      </c>
      <c r="B100" t="s">
        <v>1972</v>
      </c>
      <c r="C100" t="s">
        <v>1702</v>
      </c>
      <c r="D100" s="6">
        <v>90</v>
      </c>
      <c r="E100">
        <v>20</v>
      </c>
      <c r="F100" t="s">
        <v>1952</v>
      </c>
      <c r="G100" s="5">
        <v>30.09</v>
      </c>
      <c r="H100" s="5">
        <v>48.16</v>
      </c>
      <c r="I100" s="5">
        <f>D100*G100</f>
        <v>2708.1</v>
      </c>
      <c r="J100" t="str">
        <f>IF(D100&lt;E100,"Sí","No")</f>
        <v>No</v>
      </c>
      <c r="K100" s="7">
        <f>IF(H100=0,0,(H100-G100)/H100)</f>
        <v>0.37520764119601324</v>
      </c>
    </row>
    <row r="101" spans="1:11">
      <c r="A101" t="s">
        <v>1973</v>
      </c>
      <c r="B101" t="s">
        <v>1974</v>
      </c>
      <c r="C101" t="s">
        <v>1706</v>
      </c>
      <c r="D101" s="6">
        <v>76</v>
      </c>
      <c r="E101">
        <v>20</v>
      </c>
      <c r="F101" t="s">
        <v>1975</v>
      </c>
      <c r="G101" s="5">
        <v>43.71</v>
      </c>
      <c r="H101" s="5">
        <v>64.98999999999999</v>
      </c>
      <c r="I101" s="5">
        <f>D101*G101</f>
        <v>3321.96</v>
      </c>
      <c r="J101" t="str">
        <f>IF(D101&lt;E101,"Sí","No")</f>
        <v>No</v>
      </c>
      <c r="K101" s="7">
        <f>IF(H101=0,0,(H101-G101)/H101)</f>
        <v>0.3274349899984612</v>
      </c>
    </row>
    <row r="102" spans="1:11">
      <c r="A102" t="s">
        <v>1976</v>
      </c>
      <c r="B102" t="s">
        <v>1977</v>
      </c>
      <c r="C102" t="s">
        <v>1718</v>
      </c>
      <c r="D102" s="6">
        <v>182</v>
      </c>
      <c r="E102">
        <v>50</v>
      </c>
      <c r="F102" t="s">
        <v>1699</v>
      </c>
      <c r="G102" s="5">
        <v>34.6</v>
      </c>
      <c r="H102" s="5">
        <v>47.42</v>
      </c>
      <c r="I102" s="5">
        <f>D102*G102</f>
        <v>6297.2</v>
      </c>
      <c r="J102" t="str">
        <f>IF(D102&lt;E102,"Sí","No")</f>
        <v>No</v>
      </c>
      <c r="K102" s="7">
        <f>IF(H102=0,0,(H102-G102)/H102)</f>
        <v>0.2703500632644454</v>
      </c>
    </row>
    <row r="103" spans="1:11">
      <c r="A103" t="s">
        <v>1978</v>
      </c>
      <c r="B103" t="s">
        <v>1979</v>
      </c>
      <c r="C103" t="s">
        <v>1702</v>
      </c>
      <c r="D103" s="6">
        <v>223</v>
      </c>
      <c r="E103">
        <v>25</v>
      </c>
      <c r="F103" t="s">
        <v>1980</v>
      </c>
      <c r="G103" s="5">
        <v>10.04</v>
      </c>
      <c r="H103" s="5">
        <v>19.84</v>
      </c>
      <c r="I103" s="5">
        <f>D103*G103</f>
        <v>2238.9199999999996</v>
      </c>
      <c r="J103" t="str">
        <f>IF(D103&lt;E103,"Sí","No")</f>
        <v>No</v>
      </c>
      <c r="K103" s="7">
        <f>IF(H103=0,0,(H103-G103)/H103)</f>
        <v>0.49395161290322587</v>
      </c>
    </row>
    <row r="104" spans="1:11">
      <c r="A104" t="s">
        <v>1981</v>
      </c>
      <c r="B104" t="s">
        <v>1982</v>
      </c>
      <c r="C104" t="s">
        <v>1710</v>
      </c>
      <c r="D104" s="6">
        <v>215</v>
      </c>
      <c r="E104">
        <v>10</v>
      </c>
      <c r="F104" t="s">
        <v>1983</v>
      </c>
      <c r="G104" s="5">
        <v>19.26</v>
      </c>
      <c r="H104" s="5">
        <v>35.62</v>
      </c>
      <c r="I104" s="5">
        <f>D104*G104</f>
        <v>4140.900000000001</v>
      </c>
      <c r="J104" t="str">
        <f>IF(D104&lt;E104,"Sí","No")</f>
        <v>No</v>
      </c>
      <c r="K104" s="7">
        <f>IF(H104=0,0,(H104-G104)/H104)</f>
        <v>0.4592925322852329</v>
      </c>
    </row>
    <row r="105" spans="1:11">
      <c r="A105" t="s">
        <v>1984</v>
      </c>
      <c r="B105" t="s">
        <v>1985</v>
      </c>
      <c r="C105" t="s">
        <v>1698</v>
      </c>
      <c r="D105" s="6">
        <v>198</v>
      </c>
      <c r="E105">
        <v>50</v>
      </c>
      <c r="F105" t="s">
        <v>1986</v>
      </c>
      <c r="G105" s="5">
        <v>80.98</v>
      </c>
      <c r="H105" s="5">
        <v>132.21</v>
      </c>
      <c r="I105" s="5">
        <f>D105*G105</f>
        <v>16034.04</v>
      </c>
      <c r="J105" t="str">
        <f>IF(D105&lt;E105,"Sí","No")</f>
        <v>No</v>
      </c>
      <c r="K105" s="7">
        <f>IF(H105=0,0,(H105-G105)/H105)</f>
        <v>0.3874895998789804</v>
      </c>
    </row>
    <row r="106" spans="1:11">
      <c r="A106" t="s">
        <v>1987</v>
      </c>
      <c r="B106" t="s">
        <v>1988</v>
      </c>
      <c r="C106" t="s">
        <v>1698</v>
      </c>
      <c r="D106" s="6">
        <v>258</v>
      </c>
      <c r="E106">
        <v>10</v>
      </c>
      <c r="F106" t="s">
        <v>1911</v>
      </c>
      <c r="G106" s="5">
        <v>36.29</v>
      </c>
      <c r="H106" s="5">
        <v>53.64</v>
      </c>
      <c r="I106" s="5">
        <f>D106*G106</f>
        <v>9362.82</v>
      </c>
      <c r="J106" t="str">
        <f>IF(D106&lt;E106,"Sí","No")</f>
        <v>No</v>
      </c>
      <c r="K106" s="7">
        <f>IF(H106=0,0,(H106-G106)/H106)</f>
        <v>0.32345264727815065</v>
      </c>
    </row>
    <row r="107" spans="1:11">
      <c r="A107" t="s">
        <v>1989</v>
      </c>
      <c r="B107" t="s">
        <v>1990</v>
      </c>
      <c r="C107" t="s">
        <v>1706</v>
      </c>
      <c r="D107" s="6">
        <v>65</v>
      </c>
      <c r="E107">
        <v>50</v>
      </c>
      <c r="F107" t="s">
        <v>1725</v>
      </c>
      <c r="G107" s="5">
        <v>43.35</v>
      </c>
      <c r="H107" s="5">
        <v>62</v>
      </c>
      <c r="I107" s="5">
        <f>D107*G107</f>
        <v>2817.75</v>
      </c>
      <c r="J107" t="str">
        <f>IF(D107&lt;E107,"Sí","No")</f>
        <v>No</v>
      </c>
      <c r="K107" s="7">
        <f>IF(H107=0,0,(H107-G107)/H107)</f>
        <v>0.3008064516129032</v>
      </c>
    </row>
    <row r="108" spans="1:11">
      <c r="A108" t="s">
        <v>1991</v>
      </c>
      <c r="B108" t="s">
        <v>1992</v>
      </c>
      <c r="C108" t="s">
        <v>1698</v>
      </c>
      <c r="D108" s="6">
        <v>230</v>
      </c>
      <c r="E108">
        <v>25</v>
      </c>
      <c r="F108" t="s">
        <v>1993</v>
      </c>
      <c r="G108" s="5">
        <v>37.01</v>
      </c>
      <c r="H108" s="5">
        <v>58.34</v>
      </c>
      <c r="I108" s="5">
        <f>D108*G108</f>
        <v>8512.3</v>
      </c>
      <c r="J108" t="str">
        <f>IF(D108&lt;E108,"Sí","No")</f>
        <v>No</v>
      </c>
      <c r="K108" s="7">
        <f>IF(H108=0,0,(H108-G108)/H108)</f>
        <v>0.3656153582447721</v>
      </c>
    </row>
    <row r="109" spans="1:11">
      <c r="A109" t="s">
        <v>1994</v>
      </c>
      <c r="B109" t="s">
        <v>1995</v>
      </c>
      <c r="C109" t="s">
        <v>1714</v>
      </c>
      <c r="D109" s="6">
        <v>42</v>
      </c>
      <c r="E109">
        <v>25</v>
      </c>
      <c r="F109" t="s">
        <v>1996</v>
      </c>
      <c r="G109" s="5">
        <v>27.18</v>
      </c>
      <c r="H109" s="5">
        <v>48.01</v>
      </c>
      <c r="I109" s="5">
        <f>D109*G109</f>
        <v>1141.56</v>
      </c>
      <c r="J109" t="str">
        <f>IF(D109&lt;E109,"Sí","No")</f>
        <v>No</v>
      </c>
      <c r="K109" s="7">
        <f>IF(H109=0,0,(H109-G109)/H109)</f>
        <v>0.43386794417829616</v>
      </c>
    </row>
    <row r="110" spans="1:11">
      <c r="A110" t="s">
        <v>1997</v>
      </c>
      <c r="B110" t="s">
        <v>1998</v>
      </c>
      <c r="C110" t="s">
        <v>1706</v>
      </c>
      <c r="D110" s="6">
        <v>278</v>
      </c>
      <c r="E110">
        <v>20</v>
      </c>
      <c r="F110" t="s">
        <v>1790</v>
      </c>
      <c r="G110" s="5">
        <v>80.84999999999999</v>
      </c>
      <c r="H110" s="5">
        <v>117.48</v>
      </c>
      <c r="I110" s="5">
        <f>D110*G110</f>
        <v>22476.3</v>
      </c>
      <c r="J110" t="str">
        <f>IF(D110&lt;E110,"Sí","No")</f>
        <v>No</v>
      </c>
      <c r="K110" s="7">
        <f>IF(H110=0,0,(H110-G110)/H110)</f>
        <v>0.31179775280898886</v>
      </c>
    </row>
    <row r="111" spans="1:11">
      <c r="A111" t="s">
        <v>1999</v>
      </c>
      <c r="B111" t="s">
        <v>2000</v>
      </c>
      <c r="C111" t="s">
        <v>1718</v>
      </c>
      <c r="D111" s="6">
        <v>60</v>
      </c>
      <c r="E111">
        <v>25</v>
      </c>
      <c r="F111" t="s">
        <v>1699</v>
      </c>
      <c r="G111" s="5">
        <v>31.93</v>
      </c>
      <c r="H111" s="5">
        <v>57.59</v>
      </c>
      <c r="I111" s="5">
        <f>D111*G111</f>
        <v>1915.8</v>
      </c>
      <c r="J111" t="str">
        <f>IF(D111&lt;E111,"Sí","No")</f>
        <v>No</v>
      </c>
      <c r="K111" s="7">
        <f>IF(H111=0,0,(H111-G111)/H111)</f>
        <v>0.445563465879493</v>
      </c>
    </row>
    <row r="112" spans="1:11">
      <c r="A112" t="s">
        <v>2001</v>
      </c>
      <c r="B112" t="s">
        <v>2002</v>
      </c>
      <c r="C112" t="s">
        <v>1698</v>
      </c>
      <c r="D112" s="6">
        <v>338</v>
      </c>
      <c r="E112">
        <v>10</v>
      </c>
      <c r="F112" t="s">
        <v>2003</v>
      </c>
      <c r="G112" s="5">
        <v>42.3</v>
      </c>
      <c r="H112" s="5">
        <v>88.62</v>
      </c>
      <c r="I112" s="5">
        <f>D112*G112</f>
        <v>14297.4</v>
      </c>
      <c r="J112" t="str">
        <f>IF(D112&lt;E112,"Sí","No")</f>
        <v>No</v>
      </c>
      <c r="K112" s="7">
        <f>IF(H112=0,0,(H112-G112)/H112)</f>
        <v>0.5226811103588356</v>
      </c>
    </row>
    <row r="113" spans="1:11">
      <c r="A113" t="s">
        <v>2004</v>
      </c>
      <c r="B113" t="s">
        <v>2005</v>
      </c>
      <c r="C113" t="s">
        <v>1714</v>
      </c>
      <c r="D113" s="6">
        <v>215</v>
      </c>
      <c r="E113">
        <v>25</v>
      </c>
      <c r="F113" t="s">
        <v>1740</v>
      </c>
      <c r="G113" s="5">
        <v>10.92</v>
      </c>
      <c r="H113" s="5">
        <v>14.67</v>
      </c>
      <c r="I113" s="5">
        <f>D113*G113</f>
        <v>2347.8</v>
      </c>
      <c r="J113" t="str">
        <f>IF(D113&lt;E113,"Sí","No")</f>
        <v>No</v>
      </c>
      <c r="K113" s="7">
        <f>IF(H113=0,0,(H113-G113)/H113)</f>
        <v>0.2556237218813906</v>
      </c>
    </row>
    <row r="114" spans="1:11">
      <c r="A114" t="s">
        <v>2006</v>
      </c>
      <c r="B114" t="s">
        <v>2007</v>
      </c>
      <c r="C114" t="s">
        <v>1702</v>
      </c>
      <c r="D114" s="6">
        <v>240</v>
      </c>
      <c r="E114">
        <v>50</v>
      </c>
      <c r="F114" t="s">
        <v>1904</v>
      </c>
      <c r="G114" s="5">
        <v>34.18</v>
      </c>
      <c r="H114" s="5">
        <v>48.61</v>
      </c>
      <c r="I114" s="5">
        <f>D114*G114</f>
        <v>8203.2</v>
      </c>
      <c r="J114" t="str">
        <f>IF(D114&lt;E114,"Sí","No")</f>
        <v>No</v>
      </c>
      <c r="K114" s="7">
        <f>IF(H114=0,0,(H114-G114)/H114)</f>
        <v>0.2968524994857025</v>
      </c>
    </row>
    <row r="115" spans="1:11">
      <c r="A115" t="s">
        <v>2008</v>
      </c>
      <c r="B115" t="s">
        <v>2009</v>
      </c>
      <c r="C115" t="s">
        <v>1706</v>
      </c>
      <c r="D115" s="6">
        <v>318</v>
      </c>
      <c r="E115">
        <v>50</v>
      </c>
      <c r="F115" t="s">
        <v>1909</v>
      </c>
      <c r="G115" s="5">
        <v>16.3</v>
      </c>
      <c r="H115" s="5">
        <v>23.57</v>
      </c>
      <c r="I115" s="5">
        <f>D115*G115</f>
        <v>5183.400000000001</v>
      </c>
      <c r="J115" t="str">
        <f>IF(D115&lt;E115,"Sí","No")</f>
        <v>No</v>
      </c>
      <c r="K115" s="7">
        <f>IF(H115=0,0,(H115-G115)/H115)</f>
        <v>0.3084429359355112</v>
      </c>
    </row>
    <row r="116" spans="1:11">
      <c r="A116" t="s">
        <v>2010</v>
      </c>
      <c r="B116" t="s">
        <v>2011</v>
      </c>
      <c r="C116" t="s">
        <v>1702</v>
      </c>
      <c r="D116" s="6">
        <v>15</v>
      </c>
      <c r="E116">
        <v>20</v>
      </c>
      <c r="F116" t="s">
        <v>2012</v>
      </c>
      <c r="G116" s="5">
        <v>68.31999999999999</v>
      </c>
      <c r="H116" s="5">
        <v>96.23</v>
      </c>
      <c r="I116" s="5">
        <f>D116*G116</f>
        <v>1024.8</v>
      </c>
      <c r="J116" t="str">
        <f>IF(D116&lt;E116,"Sí","No")</f>
        <v>Sí</v>
      </c>
      <c r="K116" s="7">
        <f>IF(H116=0,0,(H116-G116)/H116)</f>
        <v>0.29003429284007076</v>
      </c>
    </row>
    <row r="117" spans="1:11">
      <c r="A117" t="s">
        <v>2013</v>
      </c>
      <c r="B117" t="s">
        <v>2014</v>
      </c>
      <c r="C117" t="s">
        <v>1706</v>
      </c>
      <c r="D117" s="6">
        <v>127</v>
      </c>
      <c r="E117">
        <v>10</v>
      </c>
      <c r="F117" t="s">
        <v>2015</v>
      </c>
      <c r="G117" s="5">
        <v>75.51000000000001</v>
      </c>
      <c r="H117" s="5">
        <v>95.45</v>
      </c>
      <c r="I117" s="5">
        <f>D117*G117</f>
        <v>9589.77</v>
      </c>
      <c r="J117" t="str">
        <f>IF(D117&lt;E117,"Sí","No")</f>
        <v>No</v>
      </c>
      <c r="K117" s="7">
        <f>IF(H117=0,0,(H117-G117)/H117)</f>
        <v>0.20890518596123622</v>
      </c>
    </row>
    <row r="118" spans="1:11">
      <c r="A118" t="s">
        <v>2016</v>
      </c>
      <c r="B118" t="s">
        <v>2017</v>
      </c>
      <c r="C118" t="s">
        <v>1702</v>
      </c>
      <c r="D118" s="6">
        <v>63</v>
      </c>
      <c r="E118">
        <v>25</v>
      </c>
      <c r="F118" t="s">
        <v>2012</v>
      </c>
      <c r="G118" s="5">
        <v>73.28</v>
      </c>
      <c r="H118" s="5">
        <v>139.44</v>
      </c>
      <c r="I118" s="5">
        <f>D118*G118</f>
        <v>4616.64</v>
      </c>
      <c r="J118" t="str">
        <f>IF(D118&lt;E118,"Sí","No")</f>
        <v>No</v>
      </c>
      <c r="K118" s="7">
        <f>IF(H118=0,0,(H118-G118)/H118)</f>
        <v>0.474469305794607</v>
      </c>
    </row>
    <row r="119" spans="1:11">
      <c r="A119" t="s">
        <v>2018</v>
      </c>
      <c r="B119" t="s">
        <v>2019</v>
      </c>
      <c r="C119" t="s">
        <v>1706</v>
      </c>
      <c r="D119" s="6">
        <v>248</v>
      </c>
      <c r="E119">
        <v>20</v>
      </c>
      <c r="F119" t="s">
        <v>2020</v>
      </c>
      <c r="G119" s="5">
        <v>61.89</v>
      </c>
      <c r="H119" s="5">
        <v>83.81</v>
      </c>
      <c r="I119" s="5">
        <f>D119*G119</f>
        <v>15348.72</v>
      </c>
      <c r="J119" t="str">
        <f>IF(D119&lt;E119,"Sí","No")</f>
        <v>No</v>
      </c>
      <c r="K119" s="7">
        <f>IF(H119=0,0,(H119-G119)/H119)</f>
        <v>0.26154396850017897</v>
      </c>
    </row>
    <row r="120" spans="1:11">
      <c r="A120" t="s">
        <v>2021</v>
      </c>
      <c r="B120" t="s">
        <v>1770</v>
      </c>
      <c r="C120" t="s">
        <v>1718</v>
      </c>
      <c r="D120" s="6">
        <v>239</v>
      </c>
      <c r="E120">
        <v>20</v>
      </c>
      <c r="F120" t="s">
        <v>1782</v>
      </c>
      <c r="G120" s="5">
        <v>48.48</v>
      </c>
      <c r="H120" s="5">
        <v>83.68000000000001</v>
      </c>
      <c r="I120" s="5">
        <f>D120*G120</f>
        <v>11586.72</v>
      </c>
      <c r="J120" t="str">
        <f>IF(D120&lt;E120,"Sí","No")</f>
        <v>No</v>
      </c>
      <c r="K120" s="7">
        <f>IF(H120=0,0,(H120-G120)/H120)</f>
        <v>0.42065009560229455</v>
      </c>
    </row>
    <row r="121" spans="1:11">
      <c r="A121" t="s">
        <v>2022</v>
      </c>
      <c r="B121" t="s">
        <v>2023</v>
      </c>
      <c r="C121" t="s">
        <v>1706</v>
      </c>
      <c r="D121" s="6">
        <v>280</v>
      </c>
      <c r="E121">
        <v>25</v>
      </c>
      <c r="F121" t="s">
        <v>1740</v>
      </c>
      <c r="G121" s="5">
        <v>69.26000000000001</v>
      </c>
      <c r="H121" s="5">
        <v>122.55</v>
      </c>
      <c r="I121" s="5">
        <f>D121*G121</f>
        <v>19392.800000000003</v>
      </c>
      <c r="J121" t="str">
        <f>IF(D121&lt;E121,"Sí","No")</f>
        <v>No</v>
      </c>
      <c r="K121" s="7">
        <f>IF(H121=0,0,(H121-G121)/H121)</f>
        <v>0.4348429212566299</v>
      </c>
    </row>
    <row r="122" spans="1:11">
      <c r="A122" t="s">
        <v>2024</v>
      </c>
      <c r="B122" t="s">
        <v>2025</v>
      </c>
      <c r="C122" t="s">
        <v>1698</v>
      </c>
      <c r="D122" s="6">
        <v>333</v>
      </c>
      <c r="E122">
        <v>20</v>
      </c>
      <c r="F122" t="s">
        <v>1765</v>
      </c>
      <c r="G122" s="5">
        <v>60.75</v>
      </c>
      <c r="H122" s="5">
        <v>92.43000000000001</v>
      </c>
      <c r="I122" s="5">
        <f>D122*G122</f>
        <v>20229.75</v>
      </c>
      <c r="J122" t="str">
        <f>IF(D122&lt;E122,"Sí","No")</f>
        <v>No</v>
      </c>
      <c r="K122" s="7">
        <f>IF(H122=0,0,(H122-G122)/H122)</f>
        <v>0.34274586173320354</v>
      </c>
    </row>
    <row r="124" spans="1:11">
      <c r="A124" s="8" t="s">
        <v>2026</v>
      </c>
      <c r="D124" s="6">
        <f>SUBTOTAL(9,D3:D122)</f>
        <v>23805</v>
      </c>
      <c r="I124" s="9">
        <f>SUBTOTAL(9,I3:I122)</f>
        <v>968155.96</v>
      </c>
    </row>
    <row r="125" spans="1:11">
      <c r="A125" t="s">
        <v>2027</v>
      </c>
      <c r="D125" s="6">
        <f>SUM(D3:D122)</f>
        <v>23805</v>
      </c>
    </row>
    <row r="126" spans="1:11">
      <c r="A126" t="s">
        <v>2028</v>
      </c>
      <c r="D126" s="6">
        <f>SUBTOTAL(109,D3:D122)</f>
        <v>23075</v>
      </c>
      <c r="I126" s="5">
        <f>SUBTOTAL(109,I3:I122)</f>
        <v>953259.46</v>
      </c>
    </row>
    <row r="127" spans="1:11">
      <c r="A127" t="s">
        <v>2029</v>
      </c>
      <c r="D127">
        <f>COUNTIF(J3:J122,"Sí")</f>
        <v>5</v>
      </c>
    </row>
  </sheetData>
  <autoFilter ref="A2:K122"/>
  <mergeCells count="4">
    <mergeCell ref="A1:C1"/>
    <mergeCell ref="D1:F1"/>
    <mergeCell ref="G1:I1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2.7109375" customWidth="1"/>
    <col min="2" max="3" width="10.7109375" customWidth="1"/>
    <col min="4" max="5" width="16.7109375" customWidth="1"/>
  </cols>
  <sheetData>
    <row r="1" spans="1:5">
      <c r="A1" s="1" t="s">
        <v>6</v>
      </c>
      <c r="B1" s="1" t="s">
        <v>2030</v>
      </c>
      <c r="C1" s="1" t="s">
        <v>2031</v>
      </c>
      <c r="D1" s="1" t="s">
        <v>12</v>
      </c>
      <c r="E1" s="1" t="s">
        <v>2032</v>
      </c>
    </row>
    <row r="2" spans="1:5">
      <c r="A2" t="s">
        <v>48</v>
      </c>
      <c r="B2">
        <f>COUNTIF(Clientes!$G$2:$G$251,A2)</f>
        <v>18</v>
      </c>
      <c r="C2">
        <f>COUNTIFS(Clientes!$G$2:$G$251,A2,Clientes!$K$2:$K$251,TRUE)</f>
        <v>13</v>
      </c>
      <c r="D2" s="5">
        <f>SUMIF(Clientes!$G$2:$G$251,A2,Clientes!$M$2:$M$251)</f>
        <v>111183.9</v>
      </c>
      <c r="E2" s="5">
        <f>AVERAGEIF(Clientes!$G$2:$G$251,A2,Clientes!$L$2:$L$251)</f>
        <v>10111.111111111111</v>
      </c>
    </row>
    <row r="3" spans="1:5">
      <c r="A3" t="s">
        <v>212</v>
      </c>
      <c r="B3">
        <f>COUNTIF(Clientes!$G$2:$G$251,A3)</f>
        <v>8</v>
      </c>
      <c r="C3">
        <f>COUNTIFS(Clientes!$G$2:$G$251,A3,Clientes!$K$2:$K$251,TRUE)</f>
        <v>6</v>
      </c>
      <c r="D3" s="5">
        <f>SUMIF(Clientes!$G$2:$G$251,A3,Clientes!$M$2:$M$251)</f>
        <v>49558.12</v>
      </c>
      <c r="E3" s="5">
        <f>AVERAGEIF(Clientes!$G$2:$G$251,A3,Clientes!$L$2:$L$251)</f>
        <v>7875.0</v>
      </c>
    </row>
    <row r="4" spans="1:5">
      <c r="A4" t="s">
        <v>30</v>
      </c>
      <c r="B4">
        <f>COUNTIF(Clientes!$G$2:$G$251,A4)</f>
        <v>25</v>
      </c>
      <c r="C4">
        <f>COUNTIFS(Clientes!$G$2:$G$251,A4,Clientes!$K$2:$K$251,TRUE)</f>
        <v>18</v>
      </c>
      <c r="D4" s="5">
        <f>SUMIF(Clientes!$G$2:$G$251,A4,Clientes!$M$2:$M$251)</f>
        <v>153524.64</v>
      </c>
      <c r="E4" s="5">
        <f>AVERAGEIF(Clientes!$G$2:$G$251,A4,Clientes!$L$2:$L$251)</f>
        <v>10360.0</v>
      </c>
    </row>
    <row r="5" spans="1:5">
      <c r="A5" t="s">
        <v>21</v>
      </c>
      <c r="B5">
        <f>COUNTIF(Clientes!$G$2:$G$251,A5)</f>
        <v>16</v>
      </c>
      <c r="C5">
        <f>COUNTIFS(Clientes!$G$2:$G$251,A5,Clientes!$K$2:$K$251,TRUE)</f>
        <v>14</v>
      </c>
      <c r="D5" s="5">
        <f>SUMIF(Clientes!$G$2:$G$251,A5,Clientes!$M$2:$M$251)</f>
        <v>81788.73</v>
      </c>
      <c r="E5" s="5">
        <f>AVERAGEIF(Clientes!$G$2:$G$251,A5,Clientes!$L$2:$L$251)</f>
        <v>6750.0</v>
      </c>
    </row>
    <row r="6" spans="1:5">
      <c r="A6" t="s">
        <v>64</v>
      </c>
      <c r="B6">
        <f>COUNTIF(Clientes!$G$2:$G$251,A6)</f>
        <v>21</v>
      </c>
      <c r="C6">
        <f>COUNTIFS(Clientes!$G$2:$G$251,A6,Clientes!$K$2:$K$251,TRUE)</f>
        <v>16</v>
      </c>
      <c r="D6" s="5">
        <f>SUMIF(Clientes!$G$2:$G$251,A6,Clientes!$M$2:$M$251)</f>
        <v>192256.63</v>
      </c>
      <c r="E6" s="5">
        <f>AVERAGEIF(Clientes!$G$2:$G$251,A6,Clientes!$L$2:$L$251)</f>
        <v>12666.666666666666</v>
      </c>
    </row>
    <row r="7" spans="1:5">
      <c r="A7" t="s">
        <v>196</v>
      </c>
      <c r="B7">
        <f>COUNTIF(Clientes!$G$2:$G$251,A7)</f>
        <v>19</v>
      </c>
      <c r="C7">
        <f>COUNTIFS(Clientes!$G$2:$G$251,A7,Clientes!$K$2:$K$251,TRUE)</f>
        <v>16</v>
      </c>
      <c r="D7" s="5">
        <f>SUMIF(Clientes!$G$2:$G$251,A7,Clientes!$M$2:$M$251)</f>
        <v>129988.79</v>
      </c>
      <c r="E7" s="5">
        <f>AVERAGEIF(Clientes!$G$2:$G$251,A7,Clientes!$L$2:$L$251)</f>
        <v>12368.421052631578</v>
      </c>
    </row>
    <row r="8" spans="1:5">
      <c r="A8" t="s">
        <v>139</v>
      </c>
      <c r="B8">
        <f>COUNTIF(Clientes!$G$2:$G$251,A8)</f>
        <v>11</v>
      </c>
      <c r="C8">
        <f>COUNTIFS(Clientes!$G$2:$G$251,A8,Clientes!$K$2:$K$251,TRUE)</f>
        <v>8</v>
      </c>
      <c r="D8" s="5">
        <f>SUMIF(Clientes!$G$2:$G$251,A8,Clientes!$M$2:$M$251)</f>
        <v>35675.85</v>
      </c>
      <c r="E8" s="5">
        <f>AVERAGEIF(Clientes!$G$2:$G$251,A8,Clientes!$L$2:$L$251)</f>
        <v>6454.545454545455</v>
      </c>
    </row>
    <row r="9" spans="1:5">
      <c r="A9" t="s">
        <v>102</v>
      </c>
      <c r="B9">
        <f>COUNTIF(Clientes!$G$2:$G$251,A9)</f>
        <v>12</v>
      </c>
      <c r="C9">
        <f>COUNTIFS(Clientes!$G$2:$G$251,A9,Clientes!$K$2:$K$251,TRUE)</f>
        <v>8</v>
      </c>
      <c r="D9" s="5">
        <f>SUMIF(Clientes!$G$2:$G$251,A9,Clientes!$M$2:$M$251)</f>
        <v>88370.17</v>
      </c>
      <c r="E9" s="5">
        <f>AVERAGEIF(Clientes!$G$2:$G$251,A9,Clientes!$L$2:$L$251)</f>
        <v>12250.0</v>
      </c>
    </row>
    <row r="10" spans="1:5">
      <c r="A10" t="s">
        <v>40</v>
      </c>
      <c r="B10">
        <f>COUNTIF(Clientes!$G$2:$G$251,A10)</f>
        <v>36</v>
      </c>
      <c r="C10">
        <f>COUNTIFS(Clientes!$G$2:$G$251,A10,Clientes!$K$2:$K$251,TRUE)</f>
        <v>24</v>
      </c>
      <c r="D10" s="5">
        <f>SUMIF(Clientes!$G$2:$G$251,A10,Clientes!$M$2:$M$251)</f>
        <v>210755.18</v>
      </c>
      <c r="E10" s="5">
        <f>AVERAGEIF(Clientes!$G$2:$G$251,A10,Clientes!$L$2:$L$251)</f>
        <v>9472.222222222223</v>
      </c>
    </row>
    <row r="11" spans="1:5">
      <c r="A11" t="s">
        <v>147</v>
      </c>
      <c r="B11">
        <f>COUNTIF(Clientes!$G$2:$G$251,A11)</f>
        <v>17</v>
      </c>
      <c r="C11">
        <f>COUNTIFS(Clientes!$G$2:$G$251,A11,Clientes!$K$2:$K$251,TRUE)</f>
        <v>12</v>
      </c>
      <c r="D11" s="5">
        <f>SUMIF(Clientes!$G$2:$G$251,A11,Clientes!$M$2:$M$251)</f>
        <v>97726.18</v>
      </c>
      <c r="E11" s="5">
        <f>AVERAGEIF(Clientes!$G$2:$G$251,A11,Clientes!$L$2:$L$251)</f>
        <v>9117.64705882353</v>
      </c>
    </row>
    <row r="12" spans="1:5">
      <c r="A12" t="s">
        <v>86</v>
      </c>
      <c r="B12">
        <f>COUNTIF(Clientes!$G$2:$G$251,A12)</f>
        <v>16</v>
      </c>
      <c r="C12">
        <f>COUNTIFS(Clientes!$G$2:$G$251,A12,Clientes!$K$2:$K$251,TRUE)</f>
        <v>15</v>
      </c>
      <c r="D12" s="5">
        <f>SUMIF(Clientes!$G$2:$G$251,A12,Clientes!$M$2:$M$251)</f>
        <v>108963.52</v>
      </c>
      <c r="E12" s="5">
        <f>AVERAGEIF(Clientes!$G$2:$G$251,A12,Clientes!$L$2:$L$251)</f>
        <v>10562.5</v>
      </c>
    </row>
    <row r="13" spans="1:5">
      <c r="A13" t="s">
        <v>227</v>
      </c>
      <c r="B13">
        <f>COUNTIF(Clientes!$G$2:$G$251,A13)</f>
        <v>13</v>
      </c>
      <c r="C13">
        <f>COUNTIFS(Clientes!$G$2:$G$251,A13,Clientes!$K$2:$K$251,TRUE)</f>
        <v>9</v>
      </c>
      <c r="D13" s="5">
        <f>SUMIF(Clientes!$G$2:$G$251,A13,Clientes!$M$2:$M$251)</f>
        <v>98313.39</v>
      </c>
      <c r="E13" s="5">
        <f>AVERAGEIF(Clientes!$G$2:$G$251,A13,Clientes!$L$2:$L$251)</f>
        <v>11461.538461538461</v>
      </c>
    </row>
    <row r="14" spans="1:5">
      <c r="A14" t="s">
        <v>110</v>
      </c>
      <c r="B14">
        <f>COUNTIF(Clientes!$G$2:$G$251,A14)</f>
        <v>19</v>
      </c>
      <c r="C14">
        <f>COUNTIFS(Clientes!$G$2:$G$251,A14,Clientes!$K$2:$K$251,TRUE)</f>
        <v>15</v>
      </c>
      <c r="D14" s="5">
        <f>SUMIF(Clientes!$G$2:$G$251,A14,Clientes!$M$2:$M$251)</f>
        <v>101019.9</v>
      </c>
      <c r="E14" s="5">
        <f>AVERAGEIF(Clientes!$G$2:$G$251,A14,Clientes!$L$2:$L$251)</f>
        <v>8157.894736842105</v>
      </c>
    </row>
    <row r="15" spans="1:5">
      <c r="A15" t="s">
        <v>297</v>
      </c>
      <c r="B15">
        <f>COUNTIF(Clientes!$G$2:$G$251,A15)</f>
        <v>19</v>
      </c>
      <c r="C15">
        <f>COUNTIFS(Clientes!$G$2:$G$251,A15,Clientes!$K$2:$K$251,TRUE)</f>
        <v>16</v>
      </c>
      <c r="D15" s="5">
        <f>SUMIF(Clientes!$G$2:$G$251,A15,Clientes!$M$2:$M$251)</f>
        <v>134887.2</v>
      </c>
      <c r="E15" s="5">
        <f>AVERAGEIF(Clientes!$G$2:$G$251,A15,Clientes!$L$2:$L$251)</f>
        <v>11210.526315789473</v>
      </c>
    </row>
    <row r="17" spans="1:2">
      <c r="A17" t="s">
        <v>2033</v>
      </c>
      <c r="B17">
        <f>COUNTA(Clientes!A2:A251)</f>
        <v>250</v>
      </c>
    </row>
    <row r="18" spans="1:2">
      <c r="A18" t="s">
        <v>2034</v>
      </c>
      <c r="B18" s="5">
        <f>MAX(Clientes!M2:M251)</f>
        <v>23904.95</v>
      </c>
    </row>
    <row r="19" spans="1:2">
      <c r="A19" t="s">
        <v>2035</v>
      </c>
      <c r="B19" s="5">
        <f>LARGE(Clientes!M2:M251,3)</f>
        <v>23079.2</v>
      </c>
    </row>
    <row r="20" spans="1:2">
      <c r="A20" t="s">
        <v>2036</v>
      </c>
      <c r="B20" s="5">
        <f>MEDIAN(Clientes!M2:M251)</f>
        <v>4048.395</v>
      </c>
    </row>
    <row r="21" spans="1:2">
      <c r="A21" t="s">
        <v>2037</v>
      </c>
      <c r="B21">
        <f>COUNTIF(Clientes!N2:N251,"Alto")</f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</vt:lpstr>
      <vt:lpstr>Inventario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clientes_inventario.xlsx</dc:title>
  <dc:creator>Sheetlight corpus</dc:creator>
  <cp:lastModifiedBy>Sheetlight corpus</cp:lastModifiedBy>
  <dcterms:created xsi:type="dcterms:W3CDTF">2025-01-01T09:00:00Z</dcterms:created>
  <dcterms:modified xsi:type="dcterms:W3CDTF">2025-01-01T09:00:00Z</dcterms:modified>
</cp:coreProperties>
</file>
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yG" sheetId="1" r:id="rId1"/>
    <sheet name="Diario" sheetId="2" r:id="rId2"/>
    <sheet name="Plan contable" sheetId="3" r:id="rId3"/>
    <sheet name="Préstamo" sheetId="4" r:id="rId4"/>
    <sheet name="Inversión" sheetId="5" r:id="rId5"/>
  </sheets>
  <definedNames>
    <definedName name="_xlnm._FilterDatabase" localSheetId="1" hidden="1">Diario!$A$1:$H$373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<sst xmlns="http://schemas.openxmlformats.org/spreadsheetml/2006/main" count="464" uniqueCount="250">
  <si>
    <t>Código</t>
  </si>
  <si>
    <t>Cuenta</t>
  </si>
  <si>
    <t>Grupo</t>
  </si>
  <si>
    <t>Ventas de mercaderías</t>
  </si>
  <si>
    <t>Importe neto de la cifra de negocios</t>
  </si>
  <si>
    <t>Prestaciones de servicios</t>
  </si>
  <si>
    <t>Compras de mercaderías</t>
  </si>
  <si>
    <t>Aprovisionamientos</t>
  </si>
  <si>
    <t>Trabajos realizados por otras empresas</t>
  </si>
  <si>
    <t>Sueldos y salarios</t>
  </si>
  <si>
    <t>Gastos de personal</t>
  </si>
  <si>
    <t>Seguridad Social a cargo de la empresa</t>
  </si>
  <si>
    <t>Arrendamientos y cánones</t>
  </si>
  <si>
    <t>Otros gastos de explotación</t>
  </si>
  <si>
    <t>Reparaciones y conservación</t>
  </si>
  <si>
    <t>Servicios de profesionales independientes</t>
  </si>
  <si>
    <t>Primas de seguros</t>
  </si>
  <si>
    <t>Publicidad, propaganda y relaciones públicas</t>
  </si>
  <si>
    <t>Suministros</t>
  </si>
  <si>
    <t>Otros servicios</t>
  </si>
  <si>
    <t>Amortización del inmovilizado material</t>
  </si>
  <si>
    <t>Amortización del inmovilizado</t>
  </si>
  <si>
    <t>Intereses de deudas</t>
  </si>
  <si>
    <t>Gastos financieros</t>
  </si>
  <si>
    <t>Fecha</t>
  </si>
  <si>
    <t>Asiento</t>
  </si>
  <si>
    <t>Concepto</t>
  </si>
  <si>
    <t>Importe</t>
  </si>
  <si>
    <t>Mes</t>
  </si>
  <si>
    <t>Trimestre</t>
  </si>
  <si>
    <t>Compras de mercaderías enero</t>
  </si>
  <si>
    <t>Prestaciones de servicios enero</t>
  </si>
  <si>
    <t>Ventas de mercaderías enero</t>
  </si>
  <si>
    <t>Amortización del inmovilizado material enero</t>
  </si>
  <si>
    <t>Servicios de profesionales independientes enero</t>
  </si>
  <si>
    <t>Sueldos y salarios enero</t>
  </si>
  <si>
    <t>Trabajos realizados por otras empresas enero</t>
  </si>
  <si>
    <t>Intereses de deudas enero</t>
  </si>
  <si>
    <t>Seguridad Social a cargo de la empresa enero</t>
  </si>
  <si>
    <t>Publicidad, propaganda y relaciones públicas enero</t>
  </si>
  <si>
    <t>Suministros enero</t>
  </si>
  <si>
    <t>Otros servicios enero</t>
  </si>
  <si>
    <t>Reparaciones y conservación enero</t>
  </si>
  <si>
    <t>Primas de seguros enero</t>
  </si>
  <si>
    <t>Arrendamientos y cánones enero</t>
  </si>
  <si>
    <t>Ventas de mercaderías febrero</t>
  </si>
  <si>
    <t>Compras de mercaderías febrero</t>
  </si>
  <si>
    <t>Seguridad Social a cargo de la empresa febrero</t>
  </si>
  <si>
    <t>Prestaciones de servicios febrero</t>
  </si>
  <si>
    <t>Otros servicios febrero</t>
  </si>
  <si>
    <t>Arrendamientos y cánones febrero</t>
  </si>
  <si>
    <t>Amortización del inmovilizado material febrero</t>
  </si>
  <si>
    <t>Trabajos realizados por otras empresas febrero</t>
  </si>
  <si>
    <t>Suministros febrero</t>
  </si>
  <si>
    <t>Reparaciones y conservación febrero</t>
  </si>
  <si>
    <t>Publicidad, propaganda y relaciones públicas febrero</t>
  </si>
  <si>
    <t>Intereses de deudas febrero</t>
  </si>
  <si>
    <t>Sueldos y salarios febrero</t>
  </si>
  <si>
    <t>Primas de seguros febrero</t>
  </si>
  <si>
    <t>Servicios de profesionales independientes febrero</t>
  </si>
  <si>
    <t>Otros servicios marzo</t>
  </si>
  <si>
    <t>Intereses de deudas marzo</t>
  </si>
  <si>
    <t>Trabajos realizados por otras empresas marzo</t>
  </si>
  <si>
    <t>Sueldos y salarios marzo</t>
  </si>
  <si>
    <t>Publicidad, propaganda y relaciones públicas marzo</t>
  </si>
  <si>
    <t>Ventas de mercaderías marzo</t>
  </si>
  <si>
    <t>Prestaciones de servicios marzo</t>
  </si>
  <si>
    <t>Primas de seguros marzo</t>
  </si>
  <si>
    <t>Compras de mercaderías marzo</t>
  </si>
  <si>
    <t>Arrendamientos y cánones marzo</t>
  </si>
  <si>
    <t>Servicios de profesionales independientes marzo</t>
  </si>
  <si>
    <t>Suministros marzo</t>
  </si>
  <si>
    <t>Reparaciones y conservación marzo</t>
  </si>
  <si>
    <t>Seguridad Social a cargo de la empresa marzo</t>
  </si>
  <si>
    <t>Amortización del inmovilizado material marzo</t>
  </si>
  <si>
    <t>Intereses de deudas abril</t>
  </si>
  <si>
    <t>Suministros abril</t>
  </si>
  <si>
    <t>Primas de seguros abril</t>
  </si>
  <si>
    <t>Compras de mercaderías abril</t>
  </si>
  <si>
    <t>Servicios de profesionales independientes abril</t>
  </si>
  <si>
    <t>Ventas de mercaderías abril</t>
  </si>
  <si>
    <t>Amortización del inmovilizado material abril</t>
  </si>
  <si>
    <t>Publicidad, propaganda y relaciones públicas abril</t>
  </si>
  <si>
    <t>Seguridad Social a cargo de la empresa abril</t>
  </si>
  <si>
    <t>Trabajos realizados por otras empresas abril</t>
  </si>
  <si>
    <t>Otros servicios abril</t>
  </si>
  <si>
    <t>Sueldos y salarios abril</t>
  </si>
  <si>
    <t>Prestaciones de servicios abril</t>
  </si>
  <si>
    <t>Reparaciones y conservación abril</t>
  </si>
  <si>
    <t>Arrendamientos y cánones abril</t>
  </si>
  <si>
    <t>Otros servicios mayo</t>
  </si>
  <si>
    <t>Ventas de mercaderías mayo</t>
  </si>
  <si>
    <t>Compras de mercaderías mayo</t>
  </si>
  <si>
    <t>Seguridad Social a cargo de la empresa mayo</t>
  </si>
  <si>
    <t>Amortización del inmovilizado material mayo</t>
  </si>
  <si>
    <t>Trabajos realizados por otras empresas mayo</t>
  </si>
  <si>
    <t>Arrendamientos y cánones mayo</t>
  </si>
  <si>
    <t>Prestaciones de servicios mayo</t>
  </si>
  <si>
    <t>Reparaciones y conservación mayo</t>
  </si>
  <si>
    <t>Suministros mayo</t>
  </si>
  <si>
    <t>Servicios de profesionales independientes mayo</t>
  </si>
  <si>
    <t>Sueldos y salarios mayo</t>
  </si>
  <si>
    <t>Primas de seguros mayo</t>
  </si>
  <si>
    <t>Intereses de deudas mayo</t>
  </si>
  <si>
    <t>Publicidad, propaganda y relaciones públicas mayo</t>
  </si>
  <si>
    <t>Ventas de mercaderías junio</t>
  </si>
  <si>
    <t>Compras de mercaderías junio</t>
  </si>
  <si>
    <t>Seguridad Social a cargo de la empresa junio</t>
  </si>
  <si>
    <t>Arrendamientos y cánones junio</t>
  </si>
  <si>
    <t>Reparaciones y conservación junio</t>
  </si>
  <si>
    <t>Publicidad, propaganda y relaciones públicas junio</t>
  </si>
  <si>
    <t>Suministros junio</t>
  </si>
  <si>
    <t>Prestaciones de servicios junio</t>
  </si>
  <si>
    <t>Otros servicios junio</t>
  </si>
  <si>
    <t>Trabajos realizados por otras empresas junio</t>
  </si>
  <si>
    <t>Servicios de profesionales independientes junio</t>
  </si>
  <si>
    <t>Sueldos y salarios junio</t>
  </si>
  <si>
    <t>Amortización del inmovilizado material junio</t>
  </si>
  <si>
    <t>Primas de seguros junio</t>
  </si>
  <si>
    <t>Intereses de deudas junio</t>
  </si>
  <si>
    <t>Trabajos realizados por otras empresas julio</t>
  </si>
  <si>
    <t>Ventas de mercaderías julio</t>
  </si>
  <si>
    <t>Compras de mercaderías julio</t>
  </si>
  <si>
    <t>Prestaciones de servicios julio</t>
  </si>
  <si>
    <t>Arrendamientos y cánones julio</t>
  </si>
  <si>
    <t>Reparaciones y conservación julio</t>
  </si>
  <si>
    <t>Amortización del inmovilizado material julio</t>
  </si>
  <si>
    <t>Servicios de profesionales independientes julio</t>
  </si>
  <si>
    <t>Seguridad Social a cargo de la empresa julio</t>
  </si>
  <si>
    <t>Otros servicios julio</t>
  </si>
  <si>
    <t>Sueldos y salarios julio</t>
  </si>
  <si>
    <t>Primas de seguros julio</t>
  </si>
  <si>
    <t>Suministros julio</t>
  </si>
  <si>
    <t>Publicidad, propaganda y relaciones públicas julio</t>
  </si>
  <si>
    <t>Intereses de deudas julio</t>
  </si>
  <si>
    <t>Compras de mercaderías agosto</t>
  </si>
  <si>
    <t>Ventas de mercaderías agosto</t>
  </si>
  <si>
    <t>Otros servicios agosto</t>
  </si>
  <si>
    <t>Reparaciones y conservación agosto</t>
  </si>
  <si>
    <t>Suministros agosto</t>
  </si>
  <si>
    <t>Seguridad Social a cargo de la empresa agosto</t>
  </si>
  <si>
    <t>Prestaciones de servicios agosto</t>
  </si>
  <si>
    <t>Intereses de deudas agosto</t>
  </si>
  <si>
    <t>Publicidad, propaganda y relaciones públicas agosto</t>
  </si>
  <si>
    <t>Trabajos realizados por otras empresas agosto</t>
  </si>
  <si>
    <t>Primas de seguros agosto</t>
  </si>
  <si>
    <t>Arrendamientos y cánones agosto</t>
  </si>
  <si>
    <t>Servicios de profesionales independientes agosto</t>
  </si>
  <si>
    <t>Amortización del inmovilizado material agosto</t>
  </si>
  <si>
    <t>Sueldos y salarios agosto</t>
  </si>
  <si>
    <t>Compras de mercaderías septiembre</t>
  </si>
  <si>
    <t>Prestaciones de servicios septiembre</t>
  </si>
  <si>
    <t>Ventas de mercaderías septiembre</t>
  </si>
  <si>
    <t>Trabajos realizados por otras empresas septiembre</t>
  </si>
  <si>
    <t>Arrendamientos y cánones septiembre</t>
  </si>
  <si>
    <t>Suministros septiembre</t>
  </si>
  <si>
    <t>Publicidad, propaganda y relaciones públicas septiembre</t>
  </si>
  <si>
    <t>Seguridad Social a cargo de la empresa septiembre</t>
  </si>
  <si>
    <t>Intereses de deudas septiembre</t>
  </si>
  <si>
    <t>Servicios de profesionales independientes septiembre</t>
  </si>
  <si>
    <t>Sueldos y salarios septiembre</t>
  </si>
  <si>
    <t>Reparaciones y conservación septiembre</t>
  </si>
  <si>
    <t>Amortización del inmovilizado material septiembre</t>
  </si>
  <si>
    <t>Otros servicios septiembre</t>
  </si>
  <si>
    <t>Primas de seguros septiembre</t>
  </si>
  <si>
    <t>Suministros octubre</t>
  </si>
  <si>
    <t>Trabajos realizados por otras empresas octubre</t>
  </si>
  <si>
    <t>Sueldos y salarios octubre</t>
  </si>
  <si>
    <t>Ventas de mercaderías octubre</t>
  </si>
  <si>
    <t>Prestaciones de servicios octubre</t>
  </si>
  <si>
    <t>Servicios de profesionales independientes octubre</t>
  </si>
  <si>
    <t>Primas de seguros octubre</t>
  </si>
  <si>
    <t>Otros servicios octubre</t>
  </si>
  <si>
    <t>Amortización del inmovilizado material octubre</t>
  </si>
  <si>
    <t>Compras de mercaderías octubre</t>
  </si>
  <si>
    <t>Reparaciones y conservación octubre</t>
  </si>
  <si>
    <t>Intereses de deudas octubre</t>
  </si>
  <si>
    <t>Seguridad Social a cargo de la empresa octubre</t>
  </si>
  <si>
    <t>Publicidad, propaganda y relaciones públicas octubre</t>
  </si>
  <si>
    <t>Arrendamientos y cánones octubre</t>
  </si>
  <si>
    <t>Ventas de mercaderías noviembre</t>
  </si>
  <si>
    <t>Compras de mercaderías noviembre</t>
  </si>
  <si>
    <t>Trabajos realizados por otras empresas noviembre</t>
  </si>
  <si>
    <t>Suministros noviembre</t>
  </si>
  <si>
    <t>Otros servicios noviembre</t>
  </si>
  <si>
    <t>Sueldos y salarios noviembre</t>
  </si>
  <si>
    <t>Seguridad Social a cargo de la empresa noviembre</t>
  </si>
  <si>
    <t>Prestaciones de servicios noviembre</t>
  </si>
  <si>
    <t>Reparaciones y conservación noviembre</t>
  </si>
  <si>
    <t>Publicidad, propaganda y relaciones públicas noviembre</t>
  </si>
  <si>
    <t>Intereses de deudas noviembre</t>
  </si>
  <si>
    <t>Primas de seguros noviembre</t>
  </si>
  <si>
    <t>Amortización del inmovilizado material noviembre</t>
  </si>
  <si>
    <t>Arrendamientos y cánones noviembre</t>
  </si>
  <si>
    <t>Servicios de profesionales independientes noviembre</t>
  </si>
  <si>
    <t>Compras de mercaderías diciembre</t>
  </si>
  <si>
    <t>Prestaciones de servicios diciembre</t>
  </si>
  <si>
    <t>Arrendamientos y cánones diciembre</t>
  </si>
  <si>
    <t>Trabajos realizados por otras empresas diciembre</t>
  </si>
  <si>
    <t>Amortización del inmovilizado material diciembre</t>
  </si>
  <si>
    <t>Seguridad Social a cargo de la empresa diciembre</t>
  </si>
  <si>
    <t>Ventas de mercaderías diciembre</t>
  </si>
  <si>
    <t>Reparaciones y conservación diciembre</t>
  </si>
  <si>
    <t>Suministros diciembre</t>
  </si>
  <si>
    <t>Sueldos y salarios diciembre</t>
  </si>
  <si>
    <t>Otros servicios diciembre</t>
  </si>
  <si>
    <t>Primas de seguros diciembre</t>
  </si>
  <si>
    <t>Intereses de deudas diciembre</t>
  </si>
  <si>
    <t>Servicios de profesionales independientes diciembre</t>
  </si>
  <si>
    <t>Publicidad, propaganda y relaciones públicas diciembre</t>
  </si>
  <si>
    <t>Cuenta de pérdidas y ganancias 2025</t>
  </si>
  <si>
    <t>Talleres Martínez S.L. · Importes en euros</t>
  </si>
  <si>
    <t>T1</t>
  </si>
  <si>
    <t>T2</t>
  </si>
  <si>
    <t>T3</t>
  </si>
  <si>
    <t>T4</t>
  </si>
  <si>
    <t>Total 2025</t>
  </si>
  <si>
    <t>% s/ ventas</t>
  </si>
  <si>
    <t>EBITDA</t>
  </si>
  <si>
    <t>Resultado de explotación</t>
  </si>
  <si>
    <t>Resultado antes de impuestos</t>
  </si>
  <si>
    <t>Impuesto sobre beneficios (25 %)</t>
  </si>
  <si>
    <t>Resultado del ejercicio</t>
  </si>
  <si>
    <t>Detalle por cuenta</t>
  </si>
  <si>
    <t>Total</t>
  </si>
  <si>
    <t>Nº apuntes</t>
  </si>
  <si>
    <t>Media</t>
  </si>
  <si>
    <t>Máximo</t>
  </si>
  <si>
    <t>Préstamo hipotecario</t>
  </si>
  <si>
    <t>Capital</t>
  </si>
  <si>
    <t>Interés anual</t>
  </si>
  <si>
    <t>Años</t>
  </si>
  <si>
    <t>Fecha de inicio</t>
  </si>
  <si>
    <t>Cuota mensual</t>
  </si>
  <si>
    <t>Total intereses</t>
  </si>
  <si>
    <t>Fecha fin</t>
  </si>
  <si>
    <t>Nº</t>
  </si>
  <si>
    <t>Cuota</t>
  </si>
  <si>
    <t>Intereses</t>
  </si>
  <si>
    <t>Amortización</t>
  </si>
  <si>
    <t>Capital pendiente</t>
  </si>
  <si>
    <t>Totales 24 meses</t>
  </si>
  <si>
    <t>Análisis de inversión</t>
  </si>
  <si>
    <t>Tasa de descuento</t>
  </si>
  <si>
    <t>Año</t>
  </si>
  <si>
    <t>Flujo de caja</t>
  </si>
  <si>
    <t>VAN</t>
  </si>
  <si>
    <t>TIR</t>
  </si>
  <si>
    <t>Ahorro a 5 años (300 €/mes al 3 %)</t>
  </si>
  <si>
    <t>Plazo de recuperación (años)</t>
  </si>
</sst>
</file>

<file path=xl/styles.xml><?xml version="1.0" encoding="utf-8"?>
<styleSheet xmlns="http://schemas.openxmlformats.org/spreadsheetml/2006/main">
  <numFmts count="7">
    <numFmt numFmtId="164" formatCode="#,##0.00 &quot;€&quot;;[Red]-#,##0.00 &quot;€&quot;"/>
    <numFmt numFmtId="165" formatCode="0.0%"/>
    <numFmt numFmtId="166" formatCode="#,##0.00 &quot;€&quot;"/>
    <numFmt numFmtId="167" formatCode="dd/mm/yyyy"/>
    <numFmt numFmtId="168" formatCode="0.00%"/>
    <numFmt numFmtId="169" formatCode="d &quot;de&quot; mmmm &quot;de&quot; yyyy"/>
    <numFmt numFmtId="170" formatCode="0.00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4" fillId="4" borderId="0" xfId="0" applyFont="1" applyFill="1"/>
    <xf numFmtId="164" fontId="4" fillId="4" borderId="2" xfId="0" applyNumberFormat="1" applyFont="1" applyFill="1" applyBorder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4" fillId="4" borderId="2" xfId="0" applyNumberFormat="1" applyFont="1" applyFill="1" applyBorder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0.7109375" customWidth="1"/>
    <col min="2" max="5" width="14.7109375" customWidth="1"/>
    <col min="6" max="6" width="15.7109375" customWidth="1"/>
    <col min="7" max="7" width="12.7109375" customWidth="1"/>
  </cols>
  <sheetData>
    <row r="1" spans="1:7" ht="28" customHeight="1">
      <c r="A1" s="1" t="s">
        <v>210</v>
      </c>
      <c r="B1" s="1"/>
      <c r="C1" s="1"/>
      <c r="D1" s="1"/>
      <c r="E1" s="1"/>
      <c r="F1" s="1"/>
      <c r="G1" s="1"/>
    </row>
    <row r="2" spans="1:7">
      <c r="A2" s="2" t="s">
        <v>211</v>
      </c>
    </row>
    <row r="4" spans="1:7">
      <c r="A4" s="3" t="s">
        <v>26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</row>
    <row r="5" spans="1:7">
      <c r="A5" t="s">
        <v>4</v>
      </c>
      <c r="B5" s="4">
        <f>SUMIFS(Diario!$E$2:$E$373,Diario!$F$2:$F$373,$A5,Diario!$H$2:$H$373,B$4)</f>
        <v>69007.29</v>
      </c>
      <c r="C5" s="4">
        <f>SUMIFS(Diario!$E$2:$E$373,Diario!$F$2:$F$373,$A5,Diario!$H$2:$H$373,C$4)</f>
        <v>70028.64</v>
      </c>
      <c r="D5" s="4">
        <f>SUMIFS(Diario!$E$2:$E$373,Diario!$F$2:$F$373,$A5,Diario!$H$2:$H$373,D$4)</f>
        <v>70882.74</v>
      </c>
      <c r="E5" s="4">
        <f>SUMIFS(Diario!$E$2:$E$373,Diario!$F$2:$F$373,$A5,Diario!$H$2:$H$373,E$4)</f>
        <v>79187.5</v>
      </c>
      <c r="F5" s="4">
        <f>SUM(B5:E5)</f>
        <v>289106.17</v>
      </c>
      <c r="G5" s="5">
        <f>IF($F$5=0,0,F5/$F$5)</f>
        <v>1.0</v>
      </c>
    </row>
    <row r="6" spans="1:7">
      <c r="A6" t="s">
        <v>7</v>
      </c>
      <c r="B6" s="4">
        <f>-SUMIFS(Diario!$E$2:$E$373,Diario!$F$2:$F$373,$A6,Diario!$H$2:$H$373,B$4)</f>
        <v>-25677.54</v>
      </c>
      <c r="C6" s="4">
        <f>-SUMIFS(Diario!$E$2:$E$373,Diario!$F$2:$F$373,$A6,Diario!$H$2:$H$373,C$4)</f>
        <v>-23370.13</v>
      </c>
      <c r="D6" s="4">
        <f>-SUMIFS(Diario!$E$2:$E$373,Diario!$F$2:$F$373,$A6,Diario!$H$2:$H$373,D$4)</f>
        <v>-23596.22</v>
      </c>
      <c r="E6" s="4">
        <f>-SUMIFS(Diario!$E$2:$E$373,Diario!$F$2:$F$373,$A6,Diario!$H$2:$H$373,E$4)</f>
        <v>-25526.13</v>
      </c>
      <c r="F6" s="4">
        <f>SUM(B6:E6)</f>
        <v>-98170.02</v>
      </c>
      <c r="G6" s="5">
        <f>IF($F$5=0,0,F6/$F$5)</f>
        <v>-0.33956390484506094</v>
      </c>
    </row>
    <row r="7" spans="1:7">
      <c r="A7" t="s">
        <v>10</v>
      </c>
      <c r="B7" s="4">
        <f>-SUMIFS(Diario!$E$2:$E$373,Diario!$F$2:$F$373,$A7,Diario!$H$2:$H$373,B$4)</f>
        <v>-57450.0</v>
      </c>
      <c r="C7" s="4">
        <f>-SUMIFS(Diario!$E$2:$E$373,Diario!$F$2:$F$373,$A7,Diario!$H$2:$H$373,C$4)</f>
        <v>-57450.0</v>
      </c>
      <c r="D7" s="4">
        <f>-SUMIFS(Diario!$E$2:$E$373,Diario!$F$2:$F$373,$A7,Diario!$H$2:$H$373,D$4)</f>
        <v>-57450.0</v>
      </c>
      <c r="E7" s="4">
        <f>-SUMIFS(Diario!$E$2:$E$373,Diario!$F$2:$F$373,$A7,Diario!$H$2:$H$373,E$4)</f>
        <v>-57450.0</v>
      </c>
      <c r="F7" s="4">
        <f>SUM(B7:E7)</f>
        <v>-229800.0</v>
      </c>
      <c r="G7" s="5">
        <f>IF($F$5=0,0,F7/$F$5)</f>
        <v>-0.7948637000725374</v>
      </c>
    </row>
    <row r="8" spans="1:7">
      <c r="A8" t="s">
        <v>13</v>
      </c>
      <c r="B8" s="4">
        <f>-SUMIFS(Diario!$E$2:$E$373,Diario!$F$2:$F$373,$A8,Diario!$H$2:$H$373,B$4)</f>
        <v>-12883.14</v>
      </c>
      <c r="C8" s="4">
        <f>-SUMIFS(Diario!$E$2:$E$373,Diario!$F$2:$F$373,$A8,Diario!$H$2:$H$373,C$4)</f>
        <v>-13073.98</v>
      </c>
      <c r="D8" s="4">
        <f>-SUMIFS(Diario!$E$2:$E$373,Diario!$F$2:$F$373,$A8,Diario!$H$2:$H$373,D$4)</f>
        <v>-12181.14</v>
      </c>
      <c r="E8" s="4">
        <f>-SUMIFS(Diario!$E$2:$E$373,Diario!$F$2:$F$373,$A8,Diario!$H$2:$H$373,E$4)</f>
        <v>-12310.0</v>
      </c>
      <c r="F8" s="4">
        <f>SUM(B8:E8)</f>
        <v>-50448.259999999995</v>
      </c>
      <c r="G8" s="5">
        <f>IF($F$5=0,0,F8/$F$5)</f>
        <v>-0.17449734815414003</v>
      </c>
    </row>
    <row r="9" spans="1:7">
      <c r="A9" s="6" t="s">
        <v>218</v>
      </c>
      <c r="B9" s="7">
        <f>SUM(B5:B8)</f>
        <v>-27003.390000000007</v>
      </c>
      <c r="C9" s="7">
        <f>SUM(C5:C8)</f>
        <v>-23865.47</v>
      </c>
      <c r="D9" s="7">
        <f>SUM(D5:D8)</f>
        <v>-22344.619999999995</v>
      </c>
      <c r="E9" s="7">
        <f>SUM(E5:E8)</f>
        <v>-16098.630000000001</v>
      </c>
      <c r="F9" s="7">
        <f>SUM(B9:E9)</f>
        <v>-89312.11</v>
      </c>
      <c r="G9" s="5">
        <f>IF($F$5=0,0,F9/$F$5)</f>
        <v>-0.30892495307173834</v>
      </c>
    </row>
    <row r="10" spans="1:7">
      <c r="A10" t="s">
        <v>21</v>
      </c>
      <c r="B10" s="4">
        <f>-SUMIFS(Diario!$E$2:$E$373,Diario!$F$2:$F$373,$A10,Diario!$H$2:$H$373,B$4)</f>
        <v>-3750.0</v>
      </c>
      <c r="C10" s="4">
        <f>-SUMIFS(Diario!$E$2:$E$373,Diario!$F$2:$F$373,$A10,Diario!$H$2:$H$373,C$4)</f>
        <v>-3750.0</v>
      </c>
      <c r="D10" s="4">
        <f>-SUMIFS(Diario!$E$2:$E$373,Diario!$F$2:$F$373,$A10,Diario!$H$2:$H$373,D$4)</f>
        <v>-3750.0</v>
      </c>
      <c r="E10" s="4">
        <f>-SUMIFS(Diario!$E$2:$E$373,Diario!$F$2:$F$373,$A10,Diario!$H$2:$H$373,E$4)</f>
        <v>-3750.0</v>
      </c>
      <c r="F10" s="4">
        <f>SUM(B10:E10)</f>
        <v>-15000.0</v>
      </c>
      <c r="G10" s="5">
        <f>IF($F$5=0,0,F10/$F$5)</f>
        <v>-0.051884053529538995</v>
      </c>
    </row>
    <row r="11" spans="1:7">
      <c r="A11" s="6" t="s">
        <v>219</v>
      </c>
      <c r="B11" s="7">
        <f>B9+B10</f>
        <v>-30753.390000000007</v>
      </c>
      <c r="C11" s="7">
        <f>C9+C10</f>
        <v>-27615.47</v>
      </c>
      <c r="D11" s="7">
        <f>D9+D10</f>
        <v>-26094.619999999995</v>
      </c>
      <c r="E11" s="7">
        <f>E9+E10</f>
        <v>-19848.63</v>
      </c>
      <c r="F11" s="7">
        <f>SUM(B11:E11)</f>
        <v>-104312.11</v>
      </c>
      <c r="G11" s="5">
        <f>IF($F$5=0,0,F11/$F$5)</f>
        <v>-0.36080900660127735</v>
      </c>
    </row>
    <row r="12" spans="1:7">
      <c r="A12" t="s">
        <v>23</v>
      </c>
      <c r="B12" s="4">
        <f>-SUMIFS(Diario!$E$2:$E$373,Diario!$F$2:$F$373,$A12,Diario!$H$2:$H$373,B$4)</f>
        <v>-1163.29</v>
      </c>
      <c r="C12" s="4">
        <f>-SUMIFS(Diario!$E$2:$E$373,Diario!$F$2:$F$373,$A12,Diario!$H$2:$H$373,C$4)</f>
        <v>-1054.11</v>
      </c>
      <c r="D12" s="4">
        <f>-SUMIFS(Diario!$E$2:$E$373,Diario!$F$2:$F$373,$A12,Diario!$H$2:$H$373,D$4)</f>
        <v>-1390.45</v>
      </c>
      <c r="E12" s="4">
        <f>-SUMIFS(Diario!$E$2:$E$373,Diario!$F$2:$F$373,$A12,Diario!$H$2:$H$373,E$4)</f>
        <v>-1100.66</v>
      </c>
      <c r="F12" s="4">
        <f>SUM(B12:E12)</f>
        <v>-4708.51</v>
      </c>
      <c r="G12" s="5">
        <f>IF($F$5=0,0,F12/$F$5)</f>
        <v>-0.016286438992291312</v>
      </c>
    </row>
    <row r="13" spans="1:7">
      <c r="A13" s="6" t="s">
        <v>220</v>
      </c>
      <c r="B13" s="7">
        <f>B11+B12</f>
        <v>-31916.680000000008</v>
      </c>
      <c r="C13" s="7">
        <f>C11+C12</f>
        <v>-28669.58</v>
      </c>
      <c r="D13" s="7">
        <f>D11+D12</f>
        <v>-27485.069999999996</v>
      </c>
      <c r="E13" s="7">
        <f>E11+E12</f>
        <v>-20949.29</v>
      </c>
      <c r="F13" s="7">
        <f>SUM(B13:E13)</f>
        <v>-109020.62000000001</v>
      </c>
      <c r="G13" s="5">
        <f>IF($F$5=0,0,F13/$F$5)</f>
        <v>-0.37709544559356867</v>
      </c>
    </row>
    <row r="14" spans="1:7">
      <c r="A14" t="s">
        <v>221</v>
      </c>
      <c r="B14" s="4">
        <f>-ROUND(MAX(0,B13)*25%,2)</f>
        <v>-0.0</v>
      </c>
      <c r="C14" s="4">
        <f>-ROUND(MAX(0,C13)*25%,2)</f>
        <v>-0.0</v>
      </c>
      <c r="D14" s="4">
        <f>-ROUND(MAX(0,D13)*25%,2)</f>
        <v>-0.0</v>
      </c>
      <c r="E14" s="4">
        <f>-ROUND(MAX(0,E13)*25%,2)</f>
        <v>-0.0</v>
      </c>
      <c r="F14" s="4">
        <f>SUM(B14:E14)</f>
        <v>0.0</v>
      </c>
      <c r="G14" s="5">
        <f>IF($F$5=0,0,F14/$F$5)</f>
        <v>0.0</v>
      </c>
    </row>
    <row r="15" spans="1:7">
      <c r="A15" s="6" t="s">
        <v>222</v>
      </c>
      <c r="B15" s="7">
        <f>B13+B14</f>
        <v>-31916.680000000008</v>
      </c>
      <c r="C15" s="7">
        <f>C13+C14</f>
        <v>-28669.58</v>
      </c>
      <c r="D15" s="7">
        <f>D13+D14</f>
        <v>-27485.069999999996</v>
      </c>
      <c r="E15" s="7">
        <f>E13+E14</f>
        <v>-20949.29</v>
      </c>
      <c r="F15" s="7">
        <f>SUM(B15:E15)</f>
        <v>-109020.62000000001</v>
      </c>
      <c r="G15" s="5">
        <f>IF($F$5=0,0,F15/$F$5)</f>
        <v>-0.37709544559356867</v>
      </c>
    </row>
    <row r="17" spans="1:7">
      <c r="A17" s="8" t="s">
        <v>223</v>
      </c>
    </row>
    <row r="18" spans="1:7">
      <c r="A18" s="3" t="s">
        <v>0</v>
      </c>
      <c r="B18" s="3" t="s">
        <v>1</v>
      </c>
      <c r="C18" s="3" t="s">
        <v>2</v>
      </c>
      <c r="D18" s="3" t="s">
        <v>224</v>
      </c>
      <c r="E18" s="3" t="s">
        <v>225</v>
      </c>
      <c r="F18" s="3" t="s">
        <v>226</v>
      </c>
      <c r="G18" s="3" t="s">
        <v>227</v>
      </c>
    </row>
    <row r="19" spans="1:7">
      <c r="A19">
        <v>700</v>
      </c>
      <c r="B19" t="str">
        <f>INDEX('Plan contable'!$B$2:$B$16,MATCH(A19,'Plan contable'!$A$2:$A$16,0))</f>
        <v>Ventas de mercaderías</v>
      </c>
      <c r="C19" cm="1" t="str">
        <f t="array" ref="C19">_xlfn.XLOOKUP(A19,'Plan contable'!$A$2:$A$16,'Plan contable'!$C$2:$C$16,"Sin grupo")</f>
        <v>Importe neto de la cifra de negocios</v>
      </c>
      <c r="D19" s="9">
        <f>SUMIF(Diario!$C$2:$C$373,A19,Diario!$E$2:$E$373)</f>
        <v>218140.53</v>
      </c>
      <c r="E19">
        <f>COUNTIF(Diario!$C$2:$C$373,A19)</f>
        <v>72</v>
      </c>
      <c r="F19" s="9">
        <f>IFERROR(AVERAGEIF(Diario!$C$2:$C$373,A19,Diario!$E$2:$E$373),0)</f>
        <v>3029.7295833333333</v>
      </c>
      <c r="G19" s="9">
        <f>_xlfn.MAXIFS(Diario!$E$2:$E$373,Diario!$C$2:$C$373,A19)</f>
        <v>4329.45</v>
      </c>
    </row>
    <row r="20" spans="1:7">
      <c r="A20">
        <v>705</v>
      </c>
      <c r="B20" t="str">
        <f>INDEX('Plan contable'!$B$2:$B$16,MATCH(A20,'Plan contable'!$A$2:$A$16,0))</f>
        <v>Prestaciones de servicios</v>
      </c>
      <c r="C20" cm="1" t="str">
        <f t="array" ref="C20">_xlfn.XLOOKUP(A20,'Plan contable'!$A$2:$A$16,'Plan contable'!$C$2:$C$16,"Sin grupo")</f>
        <v>Importe neto de la cifra de negocios</v>
      </c>
      <c r="D20" s="9">
        <f>SUMIF(Diario!$C$2:$C$373,A20,Diario!$E$2:$E$373)</f>
        <v>70965.64</v>
      </c>
      <c r="E20">
        <f>COUNTIF(Diario!$C$2:$C$373,A20)</f>
        <v>60</v>
      </c>
      <c r="F20" s="9">
        <f>IFERROR(AVERAGEIF(Diario!$C$2:$C$373,A20,Diario!$E$2:$E$373),0)</f>
        <v>1182.7606666666666</v>
      </c>
      <c r="G20" s="9">
        <f>_xlfn.MAXIFS(Diario!$E$2:$E$373,Diario!$C$2:$C$373,A20)</f>
        <v>1757.27</v>
      </c>
    </row>
    <row r="21" spans="1:7">
      <c r="A21">
        <v>600</v>
      </c>
      <c r="B21" t="str">
        <f>INDEX('Plan contable'!$B$2:$B$16,MATCH(A21,'Plan contable'!$A$2:$A$16,0))</f>
        <v>Compras de mercaderías</v>
      </c>
      <c r="C21" cm="1" t="str">
        <f t="array" ref="C21">_xlfn.XLOOKUP(A21,'Plan contable'!$A$2:$A$16,'Plan contable'!$C$2:$C$16,"Sin grupo")</f>
        <v>Aprovisionamientos</v>
      </c>
      <c r="D21" s="9">
        <f>SUMIF(Diario!$C$2:$C$373,A21,Diario!$E$2:$E$373)</f>
        <v>81102.85</v>
      </c>
      <c r="E21">
        <f>COUNTIF(Diario!$C$2:$C$373,A21)</f>
        <v>60</v>
      </c>
      <c r="F21" s="9">
        <f>IFERROR(AVERAGEIF(Diario!$C$2:$C$373,A21,Diario!$E$2:$E$373),0)</f>
        <v>1351.7141666666669</v>
      </c>
      <c r="G21" s="9">
        <f>_xlfn.MAXIFS(Diario!$E$2:$E$373,Diario!$C$2:$C$373,A21)</f>
        <v>2145.84</v>
      </c>
    </row>
    <row r="22" spans="1:7">
      <c r="A22">
        <v>607</v>
      </c>
      <c r="B22" t="str">
        <f>INDEX('Plan contable'!$B$2:$B$16,MATCH(A22,'Plan contable'!$A$2:$A$16,0))</f>
        <v>Trabajos realizados por otras empresas</v>
      </c>
      <c r="C22" cm="1" t="str">
        <f t="array" ref="C22">_xlfn.XLOOKUP(A22,'Plan contable'!$A$2:$A$16,'Plan contable'!$C$2:$C$16,"Sin grupo")</f>
        <v>Aprovisionamientos</v>
      </c>
      <c r="D22" s="9">
        <f>SUMIF(Diario!$C$2:$C$373,A22,Diario!$E$2:$E$373)</f>
        <v>17067.17</v>
      </c>
      <c r="E22">
        <f>COUNTIF(Diario!$C$2:$C$373,A22)</f>
        <v>24</v>
      </c>
      <c r="F22" s="9">
        <f>IFERROR(AVERAGEIF(Diario!$C$2:$C$373,A22,Diario!$E$2:$E$373),0)</f>
        <v>711.1320833333334</v>
      </c>
      <c r="G22" s="9">
        <f>_xlfn.MAXIFS(Diario!$E$2:$E$373,Diario!$C$2:$C$373,A22)</f>
        <v>1233.36</v>
      </c>
    </row>
    <row r="23" spans="1:7">
      <c r="A23">
        <v>640</v>
      </c>
      <c r="B23" t="str">
        <f>INDEX('Plan contable'!$B$2:$B$16,MATCH(A23,'Plan contable'!$A$2:$A$16,0))</f>
        <v>Sueldos y salarios</v>
      </c>
      <c r="C23" cm="1" t="str">
        <f t="array" ref="C23">_xlfn.XLOOKUP(A23,'Plan contable'!$A$2:$A$16,'Plan contable'!$C$2:$C$16,"Sin grupo")</f>
        <v>Gastos de personal</v>
      </c>
      <c r="D23" s="9">
        <f>SUMIF(Diario!$C$2:$C$373,A23,Diario!$E$2:$E$373)</f>
        <v>174000.0</v>
      </c>
      <c r="E23">
        <f>COUNTIF(Diario!$C$2:$C$373,A23)</f>
        <v>12</v>
      </c>
      <c r="F23" s="9">
        <f>IFERROR(AVERAGEIF(Diario!$C$2:$C$373,A23,Diario!$E$2:$E$373),0)</f>
        <v>14500.0</v>
      </c>
      <c r="G23" s="9">
        <f>_xlfn.MAXIFS(Diario!$E$2:$E$373,Diario!$C$2:$C$373,A23)</f>
        <v>14500.0</v>
      </c>
    </row>
    <row r="24" spans="1:7">
      <c r="A24">
        <v>642</v>
      </c>
      <c r="B24" t="str">
        <f>INDEX('Plan contable'!$B$2:$B$16,MATCH(A24,'Plan contable'!$A$2:$A$16,0))</f>
        <v>Seguridad Social a cargo de la empresa</v>
      </c>
      <c r="C24" cm="1" t="str">
        <f t="array" ref="C24">_xlfn.XLOOKUP(A24,'Plan contable'!$A$2:$A$16,'Plan contable'!$C$2:$C$16,"Sin grupo")</f>
        <v>Gastos de personal</v>
      </c>
      <c r="D24" s="9">
        <f>SUMIF(Diario!$C$2:$C$373,A24,Diario!$E$2:$E$373)</f>
        <v>55800.0</v>
      </c>
      <c r="E24">
        <f>COUNTIF(Diario!$C$2:$C$373,A24)</f>
        <v>12</v>
      </c>
      <c r="F24" s="9">
        <f>IFERROR(AVERAGEIF(Diario!$C$2:$C$373,A24,Diario!$E$2:$E$373),0)</f>
        <v>4650.0</v>
      </c>
      <c r="G24" s="9">
        <f>_xlfn.MAXIFS(Diario!$E$2:$E$373,Diario!$C$2:$C$373,A24)</f>
        <v>4650.0</v>
      </c>
    </row>
    <row r="25" spans="1:7">
      <c r="A25">
        <v>621</v>
      </c>
      <c r="B25" t="str">
        <f>INDEX('Plan contable'!$B$2:$B$16,MATCH(A25,'Plan contable'!$A$2:$A$16,0))</f>
        <v>Arrendamientos y cánones</v>
      </c>
      <c r="C25" cm="1" t="str">
        <f t="array" ref="C25">_xlfn.XLOOKUP(A25,'Plan contable'!$A$2:$A$16,'Plan contable'!$C$2:$C$16,"Sin grupo")</f>
        <v>Otros gastos de explotación</v>
      </c>
      <c r="D25" s="9">
        <f>SUMIF(Diario!$C$2:$C$373,A25,Diario!$E$2:$E$373)</f>
        <v>21600.0</v>
      </c>
      <c r="E25">
        <f>COUNTIF(Diario!$C$2:$C$373,A25)</f>
        <v>12</v>
      </c>
      <c r="F25" s="9">
        <f>IFERROR(AVERAGEIF(Diario!$C$2:$C$373,A25,Diario!$E$2:$E$373),0)</f>
        <v>1800.0</v>
      </c>
      <c r="G25" s="9">
        <f>_xlfn.MAXIFS(Diario!$E$2:$E$373,Diario!$C$2:$C$373,A25)</f>
        <v>1800.0</v>
      </c>
    </row>
    <row r="26" spans="1:7">
      <c r="A26">
        <v>622</v>
      </c>
      <c r="B26" t="str">
        <f>INDEX('Plan contable'!$B$2:$B$16,MATCH(A26,'Plan contable'!$A$2:$A$16,0))</f>
        <v>Reparaciones y conservación</v>
      </c>
      <c r="C26" cm="1" t="str">
        <f t="array" ref="C26">_xlfn.XLOOKUP(A26,'Plan contable'!$A$2:$A$16,'Plan contable'!$C$2:$C$16,"Sin grupo")</f>
        <v>Otros gastos de explotación</v>
      </c>
      <c r="D26" s="9">
        <f>SUMIF(Diario!$C$2:$C$373,A26,Diario!$E$2:$E$373)</f>
        <v>6710.53</v>
      </c>
      <c r="E26">
        <f>COUNTIF(Diario!$C$2:$C$373,A26)</f>
        <v>12</v>
      </c>
      <c r="F26" s="9">
        <f>IFERROR(AVERAGEIF(Diario!$C$2:$C$373,A26,Diario!$E$2:$E$373),0)</f>
        <v>559.2108333333333</v>
      </c>
      <c r="G26" s="9">
        <f>_xlfn.MAXIFS(Diario!$E$2:$E$373,Diario!$C$2:$C$373,A26)</f>
        <v>876.05</v>
      </c>
    </row>
    <row r="27" spans="1:7">
      <c r="A27">
        <v>623</v>
      </c>
      <c r="B27" t="str">
        <f>INDEX('Plan contable'!$B$2:$B$16,MATCH(A27,'Plan contable'!$A$2:$A$16,0))</f>
        <v>Servicios de profesionales independientes</v>
      </c>
      <c r="C27" cm="1" t="str">
        <f t="array" ref="C27">_xlfn.XLOOKUP(A27,'Plan contable'!$A$2:$A$16,'Plan contable'!$C$2:$C$16,"Sin grupo")</f>
        <v>Otros gastos de explotación</v>
      </c>
      <c r="D27" s="9">
        <f>SUMIF(Diario!$C$2:$C$373,A27,Diario!$E$2:$E$373)</f>
        <v>4750.7</v>
      </c>
      <c r="E27">
        <f>COUNTIF(Diario!$C$2:$C$373,A27)</f>
        <v>12</v>
      </c>
      <c r="F27" s="9">
        <f>IFERROR(AVERAGEIF(Diario!$C$2:$C$373,A27,Diario!$E$2:$E$373),0)</f>
        <v>395.89166666666665</v>
      </c>
      <c r="G27" s="9">
        <f>_xlfn.MAXIFS(Diario!$E$2:$E$373,Diario!$C$2:$C$373,A27)</f>
        <v>538.83</v>
      </c>
    </row>
    <row r="28" spans="1:7">
      <c r="A28">
        <v>625</v>
      </c>
      <c r="B28" t="str">
        <f>INDEX('Plan contable'!$B$2:$B$16,MATCH(A28,'Plan contable'!$A$2:$A$16,0))</f>
        <v>Primas de seguros</v>
      </c>
      <c r="C28" cm="1" t="str">
        <f t="array" ref="C28">_xlfn.XLOOKUP(A28,'Plan contable'!$A$2:$A$16,'Plan contable'!$C$2:$C$16,"Sin grupo")</f>
        <v>Otros gastos de explotación</v>
      </c>
      <c r="D28" s="9">
        <f>SUMIF(Diario!$C$2:$C$373,A28,Diario!$E$2:$E$373)</f>
        <v>2160.0</v>
      </c>
      <c r="E28">
        <f>COUNTIF(Diario!$C$2:$C$373,A28)</f>
        <v>12</v>
      </c>
      <c r="F28" s="9">
        <f>IFERROR(AVERAGEIF(Diario!$C$2:$C$373,A28,Diario!$E$2:$E$373),0)</f>
        <v>180.0</v>
      </c>
      <c r="G28" s="9">
        <f>_xlfn.MAXIFS(Diario!$E$2:$E$373,Diario!$C$2:$C$373,A28)</f>
        <v>180.0</v>
      </c>
    </row>
    <row r="29" spans="1:7">
      <c r="A29">
        <v>627</v>
      </c>
      <c r="B29" t="str">
        <f>INDEX('Plan contable'!$B$2:$B$16,MATCH(A29,'Plan contable'!$A$2:$A$16,0))</f>
        <v>Publicidad, propaganda y relaciones públicas</v>
      </c>
      <c r="C29" cm="1" t="str">
        <f t="array" ref="C29">_xlfn.XLOOKUP(A29,'Plan contable'!$A$2:$A$16,'Plan contable'!$C$2:$C$16,"Sin grupo")</f>
        <v>Otros gastos de explotación</v>
      </c>
      <c r="D29" s="9">
        <f>SUMIF(Diario!$C$2:$C$373,A29,Diario!$E$2:$E$373)</f>
        <v>6227.16</v>
      </c>
      <c r="E29">
        <f>COUNTIF(Diario!$C$2:$C$373,A29)</f>
        <v>12</v>
      </c>
      <c r="F29" s="9">
        <f>IFERROR(AVERAGEIF(Diario!$C$2:$C$373,A29,Diario!$E$2:$E$373),0)</f>
        <v>518.93</v>
      </c>
      <c r="G29" s="9">
        <f>_xlfn.MAXIFS(Diario!$E$2:$E$373,Diario!$C$2:$C$373,A29)</f>
        <v>1154.96</v>
      </c>
    </row>
    <row r="30" spans="1:7">
      <c r="A30">
        <v>628</v>
      </c>
      <c r="B30" t="str">
        <f>INDEX('Plan contable'!$B$2:$B$16,MATCH(A30,'Plan contable'!$A$2:$A$16,0))</f>
        <v>Suministros</v>
      </c>
      <c r="C30" cm="1" t="str">
        <f t="array" ref="C30">_xlfn.XLOOKUP(A30,'Plan contable'!$A$2:$A$16,'Plan contable'!$C$2:$C$16,"Sin grupo")</f>
        <v>Otros gastos de explotación</v>
      </c>
      <c r="D30" s="9">
        <f>SUMIF(Diario!$C$2:$C$373,A30,Diario!$E$2:$E$373)</f>
        <v>6597.15</v>
      </c>
      <c r="E30">
        <f>COUNTIF(Diario!$C$2:$C$373,A30)</f>
        <v>24</v>
      </c>
      <c r="F30" s="9">
        <f>IFERROR(AVERAGEIF(Diario!$C$2:$C$373,A30,Diario!$E$2:$E$373),0)</f>
        <v>274.88124999999997</v>
      </c>
      <c r="G30" s="9">
        <f>_xlfn.MAXIFS(Diario!$E$2:$E$373,Diario!$C$2:$C$373,A30)</f>
        <v>379.75</v>
      </c>
    </row>
    <row r="31" spans="1:7">
      <c r="A31">
        <v>629</v>
      </c>
      <c r="B31" t="str">
        <f>INDEX('Plan contable'!$B$2:$B$16,MATCH(A31,'Plan contable'!$A$2:$A$16,0))</f>
        <v>Otros servicios</v>
      </c>
      <c r="C31" cm="1" t="str">
        <f t="array" ref="C31">_xlfn.XLOOKUP(A31,'Plan contable'!$A$2:$A$16,'Plan contable'!$C$2:$C$16,"Sin grupo")</f>
        <v>Otros gastos de explotación</v>
      </c>
      <c r="D31" s="9">
        <f>SUMIF(Diario!$C$2:$C$373,A31,Diario!$E$2:$E$373)</f>
        <v>2402.72</v>
      </c>
      <c r="E31">
        <f>COUNTIF(Diario!$C$2:$C$373,A31)</f>
        <v>24</v>
      </c>
      <c r="F31" s="9">
        <f>IFERROR(AVERAGEIF(Diario!$C$2:$C$373,A31,Diario!$E$2:$E$373),0)</f>
        <v>100.11333333333334</v>
      </c>
      <c r="G31" s="9">
        <f>_xlfn.MAXIFS(Diario!$E$2:$E$373,Diario!$C$2:$C$373,A31)</f>
        <v>198.79</v>
      </c>
    </row>
    <row r="32" spans="1:7">
      <c r="A32">
        <v>681</v>
      </c>
      <c r="B32" t="str">
        <f>INDEX('Plan contable'!$B$2:$B$16,MATCH(A32,'Plan contable'!$A$2:$A$16,0))</f>
        <v>Amortización del inmovilizado material</v>
      </c>
      <c r="C32" cm="1" t="str">
        <f t="array" ref="C32">_xlfn.XLOOKUP(A32,'Plan contable'!$A$2:$A$16,'Plan contable'!$C$2:$C$16,"Sin grupo")</f>
        <v>Amortización del inmovilizado</v>
      </c>
      <c r="D32" s="9">
        <f>SUMIF(Diario!$C$2:$C$373,A32,Diario!$E$2:$E$373)</f>
        <v>15000.0</v>
      </c>
      <c r="E32">
        <f>COUNTIF(Diario!$C$2:$C$373,A32)</f>
        <v>12</v>
      </c>
      <c r="F32" s="9">
        <f>IFERROR(AVERAGEIF(Diario!$C$2:$C$373,A32,Diario!$E$2:$E$373),0)</f>
        <v>1250.0</v>
      </c>
      <c r="G32" s="9">
        <f>_xlfn.MAXIFS(Diario!$E$2:$E$373,Diario!$C$2:$C$373,A32)</f>
        <v>1250.0</v>
      </c>
    </row>
    <row r="33" spans="1:7">
      <c r="A33">
        <v>662</v>
      </c>
      <c r="B33" t="str">
        <f>INDEX('Plan contable'!$B$2:$B$16,MATCH(A33,'Plan contable'!$A$2:$A$16,0))</f>
        <v>Intereses de deudas</v>
      </c>
      <c r="C33" cm="1" t="str">
        <f t="array" ref="C33">_xlfn.XLOOKUP(A33,'Plan contable'!$A$2:$A$16,'Plan contable'!$C$2:$C$16,"Sin grupo")</f>
        <v>Gastos financieros</v>
      </c>
      <c r="D33" s="9">
        <f>SUMIF(Diario!$C$2:$C$373,A33,Diario!$E$2:$E$373)</f>
        <v>4708.51</v>
      </c>
      <c r="E33">
        <f>COUNTIF(Diario!$C$2:$C$373,A33)</f>
        <v>12</v>
      </c>
      <c r="F33" s="9">
        <f>IFERROR(AVERAGEIF(Diario!$C$2:$C$373,A33,Diario!$E$2:$E$373),0)</f>
        <v>392.37583333333333</v>
      </c>
      <c r="G33" s="9">
        <f>_xlfn.MAXIFS(Diario!$E$2:$E$373,Diario!$C$2:$C$373,A33)</f>
        <v>524.67</v>
      </c>
    </row>
    <row r="34" spans="1:7">
      <c r="A34">
        <v>999</v>
      </c>
      <c r="B34" t="str">
        <f>IFERROR(INDEX('Plan contable'!$B$2:$B$16,MATCH(A34,'Plan contable'!$A$2:$A$16,0)),"No existe")</f>
        <v>No existe</v>
      </c>
      <c r="C34" cm="1" t="str">
        <f t="array" ref="C34">_xlfn.XLOOKUP(A34,'Plan contable'!$A$2:$A$16,'Plan contable'!$C$2:$C$16,"Sin grupo")</f>
        <v>Sin grupo</v>
      </c>
      <c r="D34" s="9">
        <f>SUMIF(Diario!$C$2:$C$373,A34,Diario!$E$2:$E$373)</f>
        <v>0.0</v>
      </c>
      <c r="E34">
        <f>COUNTIF(Diario!$C$2:$C$373,A34)</f>
        <v>0</v>
      </c>
      <c r="F34" t="e">
        <f>VLOOKUP(A34,'Plan contable'!$A$2:$C$16,2,FALSE)</f>
        <v>#N/A</v>
      </c>
      <c r="G34" t="e">
        <f>D34/E34</f>
        <v>#DIV/0!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8.7109375" customWidth="1"/>
    <col min="4" max="4" width="46.7109375" customWidth="1"/>
    <col min="5" max="5" width="13.7109375" customWidth="1"/>
    <col min="6" max="6" width="34.7109375" customWidth="1"/>
    <col min="7" max="7" width="6.7109375" customWidth="1"/>
    <col min="8" max="8" width="9.7109375" customWidth="1"/>
  </cols>
  <sheetData>
    <row r="1" spans="1:8">
      <c r="A1" s="3" t="s">
        <v>24</v>
      </c>
      <c r="B1" s="3" t="s">
        <v>25</v>
      </c>
      <c r="C1" s="3" t="s">
        <v>1</v>
      </c>
      <c r="D1" s="3" t="s">
        <v>26</v>
      </c>
      <c r="E1" s="3" t="s">
        <v>27</v>
      </c>
      <c r="F1" s="3" t="s">
        <v>2</v>
      </c>
      <c r="G1" s="3" t="s">
        <v>28</v>
      </c>
      <c r="H1" s="3" t="s">
        <v>29</v>
      </c>
    </row>
    <row r="2" spans="1:8">
      <c r="A2" s="10">
        <v>45658</v>
      </c>
      <c r="B2">
        <v>1</v>
      </c>
      <c r="C2">
        <v>600</v>
      </c>
      <c r="D2" t="s">
        <v>30</v>
      </c>
      <c r="E2" s="9">
        <v>1543.29</v>
      </c>
      <c r="F2" t="str">
        <f>VLOOKUP(C2,'Plan contable'!$A$2:$C$16,3,FALSE)</f>
        <v>Aprovisionamientos</v>
      </c>
      <c r="G2">
        <f>MONTH(A2)</f>
        <v>1</v>
      </c>
      <c r="H2" t="str">
        <f>"T"&amp;ROUNDUP(G2/3,0)</f>
        <v>T1</v>
      </c>
    </row>
    <row r="3" spans="1:8">
      <c r="A3" s="10">
        <v>45659</v>
      </c>
      <c r="B3">
        <v>2</v>
      </c>
      <c r="C3">
        <v>705</v>
      </c>
      <c r="D3" t="s">
        <v>31</v>
      </c>
      <c r="E3" s="9">
        <v>915.29</v>
      </c>
      <c r="F3" t="str">
        <f>VLOOKUP(C3,'Plan contable'!$A$2:$C$16,3,FALSE)</f>
        <v>Importe neto de la cifra de negocios</v>
      </c>
      <c r="G3">
        <f>MONTH(A3)</f>
        <v>1</v>
      </c>
      <c r="H3" t="str">
        <f>"T"&amp;ROUNDUP(G3/3,0)</f>
        <v>T1</v>
      </c>
    </row>
    <row r="4" spans="1:8">
      <c r="A4" s="10">
        <v>45659</v>
      </c>
      <c r="B4">
        <v>3</v>
      </c>
      <c r="C4">
        <v>705</v>
      </c>
      <c r="D4" t="s">
        <v>31</v>
      </c>
      <c r="E4" s="9">
        <v>1250.29</v>
      </c>
      <c r="F4" t="str">
        <f>VLOOKUP(C4,'Plan contable'!$A$2:$C$16,3,FALSE)</f>
        <v>Importe neto de la cifra de negocios</v>
      </c>
      <c r="G4">
        <f>MONTH(A4)</f>
        <v>1</v>
      </c>
      <c r="H4" t="str">
        <f>"T"&amp;ROUNDUP(G4/3,0)</f>
        <v>T1</v>
      </c>
    </row>
    <row r="5" spans="1:8">
      <c r="A5" s="10">
        <v>45660</v>
      </c>
      <c r="B5">
        <v>4</v>
      </c>
      <c r="C5">
        <v>700</v>
      </c>
      <c r="D5" t="s">
        <v>32</v>
      </c>
      <c r="E5" s="9">
        <v>2156.6</v>
      </c>
      <c r="F5" t="str">
        <f>VLOOKUP(C5,'Plan contable'!$A$2:$C$16,3,FALSE)</f>
        <v>Importe neto de la cifra de negocios</v>
      </c>
      <c r="G5">
        <f>MONTH(A5)</f>
        <v>1</v>
      </c>
      <c r="H5" t="str">
        <f>"T"&amp;ROUNDUP(G5/3,0)</f>
        <v>T1</v>
      </c>
    </row>
    <row r="6" spans="1:8">
      <c r="A6" s="10">
        <v>45662</v>
      </c>
      <c r="B6">
        <v>5</v>
      </c>
      <c r="C6">
        <v>700</v>
      </c>
      <c r="D6" t="s">
        <v>32</v>
      </c>
      <c r="E6" s="9">
        <v>2187.41</v>
      </c>
      <c r="F6" t="str">
        <f>VLOOKUP(C6,'Plan contable'!$A$2:$C$16,3,FALSE)</f>
        <v>Importe neto de la cifra de negocios</v>
      </c>
      <c r="G6">
        <f>MONTH(A6)</f>
        <v>1</v>
      </c>
      <c r="H6" t="str">
        <f>"T"&amp;ROUNDUP(G6/3,0)</f>
        <v>T1</v>
      </c>
    </row>
    <row r="7" spans="1:8">
      <c r="A7" s="10">
        <v>45663</v>
      </c>
      <c r="B7">
        <v>6</v>
      </c>
      <c r="C7">
        <v>600</v>
      </c>
      <c r="D7" t="s">
        <v>30</v>
      </c>
      <c r="E7" s="9">
        <v>1959.69</v>
      </c>
      <c r="F7" t="str">
        <f>VLOOKUP(C7,'Plan contable'!$A$2:$C$16,3,FALSE)</f>
        <v>Aprovisionamientos</v>
      </c>
      <c r="G7">
        <f>MONTH(A7)</f>
        <v>1</v>
      </c>
      <c r="H7" t="str">
        <f>"T"&amp;ROUNDUP(G7/3,0)</f>
        <v>T1</v>
      </c>
    </row>
    <row r="8" spans="1:8">
      <c r="A8" s="10">
        <v>45663</v>
      </c>
      <c r="B8">
        <v>7</v>
      </c>
      <c r="C8">
        <v>681</v>
      </c>
      <c r="D8" t="s">
        <v>33</v>
      </c>
      <c r="E8" s="9">
        <v>1250</v>
      </c>
      <c r="F8" t="str">
        <f>VLOOKUP(C8,'Plan contable'!$A$2:$C$16,3,FALSE)</f>
        <v>Amortización del inmovilizado</v>
      </c>
      <c r="G8">
        <f>MONTH(A8)</f>
        <v>1</v>
      </c>
      <c r="H8" t="str">
        <f>"T"&amp;ROUNDUP(G8/3,0)</f>
        <v>T1</v>
      </c>
    </row>
    <row r="9" spans="1:8">
      <c r="A9" s="10">
        <v>45663</v>
      </c>
      <c r="B9">
        <v>8</v>
      </c>
      <c r="C9">
        <v>700</v>
      </c>
      <c r="D9" t="s">
        <v>32</v>
      </c>
      <c r="E9" s="9">
        <v>3488.87</v>
      </c>
      <c r="F9" t="str">
        <f>VLOOKUP(C9,'Plan contable'!$A$2:$C$16,3,FALSE)</f>
        <v>Importe neto de la cifra de negocios</v>
      </c>
      <c r="G9">
        <f>MONTH(A9)</f>
        <v>1</v>
      </c>
      <c r="H9" t="str">
        <f>"T"&amp;ROUNDUP(G9/3,0)</f>
        <v>T1</v>
      </c>
    </row>
    <row r="10" spans="1:8">
      <c r="A10" s="10">
        <v>45666</v>
      </c>
      <c r="B10">
        <v>9</v>
      </c>
      <c r="C10">
        <v>623</v>
      </c>
      <c r="D10" t="s">
        <v>34</v>
      </c>
      <c r="E10" s="9">
        <v>538.83</v>
      </c>
      <c r="F10" t="str">
        <f>VLOOKUP(C10,'Plan contable'!$A$2:$C$16,3,FALSE)</f>
        <v>Otros gastos de explotación</v>
      </c>
      <c r="G10">
        <f>MONTH(A10)</f>
        <v>1</v>
      </c>
      <c r="H10" t="str">
        <f>"T"&amp;ROUNDUP(G10/3,0)</f>
        <v>T1</v>
      </c>
    </row>
    <row r="11" spans="1:8">
      <c r="A11" s="10">
        <v>45666</v>
      </c>
      <c r="B11">
        <v>10</v>
      </c>
      <c r="C11">
        <v>640</v>
      </c>
      <c r="D11" t="s">
        <v>35</v>
      </c>
      <c r="E11" s="9">
        <v>14500</v>
      </c>
      <c r="F11" t="str">
        <f>VLOOKUP(C11,'Plan contable'!$A$2:$C$16,3,FALSE)</f>
        <v>Gastos de personal</v>
      </c>
      <c r="G11">
        <f>MONTH(A11)</f>
        <v>1</v>
      </c>
      <c r="H11" t="str">
        <f>"T"&amp;ROUNDUP(G11/3,0)</f>
        <v>T1</v>
      </c>
    </row>
    <row r="12" spans="1:8">
      <c r="A12" s="10">
        <v>45667</v>
      </c>
      <c r="B12">
        <v>11</v>
      </c>
      <c r="C12">
        <v>600</v>
      </c>
      <c r="D12" t="s">
        <v>30</v>
      </c>
      <c r="E12" s="9">
        <v>1274.43</v>
      </c>
      <c r="F12" t="str">
        <f>VLOOKUP(C12,'Plan contable'!$A$2:$C$16,3,FALSE)</f>
        <v>Aprovisionamientos</v>
      </c>
      <c r="G12">
        <f>MONTH(A12)</f>
        <v>1</v>
      </c>
      <c r="H12" t="str">
        <f>"T"&amp;ROUNDUP(G12/3,0)</f>
        <v>T1</v>
      </c>
    </row>
    <row r="13" spans="1:8">
      <c r="A13" s="10">
        <v>45668</v>
      </c>
      <c r="B13">
        <v>12</v>
      </c>
      <c r="C13">
        <v>607</v>
      </c>
      <c r="D13" t="s">
        <v>36</v>
      </c>
      <c r="E13" s="9">
        <v>842.9400000000001</v>
      </c>
      <c r="F13" t="str">
        <f>VLOOKUP(C13,'Plan contable'!$A$2:$C$16,3,FALSE)</f>
        <v>Aprovisionamientos</v>
      </c>
      <c r="G13">
        <f>MONTH(A13)</f>
        <v>1</v>
      </c>
      <c r="H13" t="str">
        <f>"T"&amp;ROUNDUP(G13/3,0)</f>
        <v>T1</v>
      </c>
    </row>
    <row r="14" spans="1:8">
      <c r="A14" s="10">
        <v>45669</v>
      </c>
      <c r="B14">
        <v>13</v>
      </c>
      <c r="C14">
        <v>662</v>
      </c>
      <c r="D14" t="s">
        <v>37</v>
      </c>
      <c r="E14" s="9">
        <v>409.3</v>
      </c>
      <c r="F14" t="str">
        <f>VLOOKUP(C14,'Plan contable'!$A$2:$C$16,3,FALSE)</f>
        <v>Gastos financieros</v>
      </c>
      <c r="G14">
        <f>MONTH(A14)</f>
        <v>1</v>
      </c>
      <c r="H14" t="str">
        <f>"T"&amp;ROUNDUP(G14/3,0)</f>
        <v>T1</v>
      </c>
    </row>
    <row r="15" spans="1:8">
      <c r="A15" s="10">
        <v>45669</v>
      </c>
      <c r="B15">
        <v>14</v>
      </c>
      <c r="C15">
        <v>700</v>
      </c>
      <c r="D15" t="s">
        <v>32</v>
      </c>
      <c r="E15" s="9">
        <v>3745.63</v>
      </c>
      <c r="F15" t="str">
        <f>VLOOKUP(C15,'Plan contable'!$A$2:$C$16,3,FALSE)</f>
        <v>Importe neto de la cifra de negocios</v>
      </c>
      <c r="G15">
        <f>MONTH(A15)</f>
        <v>1</v>
      </c>
      <c r="H15" t="str">
        <f>"T"&amp;ROUNDUP(G15/3,0)</f>
        <v>T1</v>
      </c>
    </row>
    <row r="16" spans="1:8">
      <c r="A16" s="10">
        <v>45670</v>
      </c>
      <c r="B16">
        <v>15</v>
      </c>
      <c r="C16">
        <v>642</v>
      </c>
      <c r="D16" t="s">
        <v>38</v>
      </c>
      <c r="E16" s="9">
        <v>4650</v>
      </c>
      <c r="F16" t="str">
        <f>VLOOKUP(C16,'Plan contable'!$A$2:$C$16,3,FALSE)</f>
        <v>Gastos de personal</v>
      </c>
      <c r="G16">
        <f>MONTH(A16)</f>
        <v>1</v>
      </c>
      <c r="H16" t="str">
        <f>"T"&amp;ROUNDUP(G16/3,0)</f>
        <v>T1</v>
      </c>
    </row>
    <row r="17" spans="1:8">
      <c r="A17" s="10">
        <v>45671</v>
      </c>
      <c r="B17">
        <v>16</v>
      </c>
      <c r="C17">
        <v>627</v>
      </c>
      <c r="D17" t="s">
        <v>39</v>
      </c>
      <c r="E17" s="9">
        <v>154.04</v>
      </c>
      <c r="F17" t="str">
        <f>VLOOKUP(C17,'Plan contable'!$A$2:$C$16,3,FALSE)</f>
        <v>Otros gastos de explotación</v>
      </c>
      <c r="G17">
        <f>MONTH(A17)</f>
        <v>1</v>
      </c>
      <c r="H17" t="str">
        <f>"T"&amp;ROUNDUP(G17/3,0)</f>
        <v>T1</v>
      </c>
    </row>
    <row r="18" spans="1:8">
      <c r="A18" s="10">
        <v>45671</v>
      </c>
      <c r="B18">
        <v>17</v>
      </c>
      <c r="C18">
        <v>628</v>
      </c>
      <c r="D18" t="s">
        <v>40</v>
      </c>
      <c r="E18" s="9">
        <v>372.77</v>
      </c>
      <c r="F18" t="str">
        <f>VLOOKUP(C18,'Plan contable'!$A$2:$C$16,3,FALSE)</f>
        <v>Otros gastos de explotación</v>
      </c>
      <c r="G18">
        <f>MONTH(A18)</f>
        <v>1</v>
      </c>
      <c r="H18" t="str">
        <f>"T"&amp;ROUNDUP(G18/3,0)</f>
        <v>T1</v>
      </c>
    </row>
    <row r="19" spans="1:8">
      <c r="A19" s="10">
        <v>45671</v>
      </c>
      <c r="B19">
        <v>18</v>
      </c>
      <c r="C19">
        <v>629</v>
      </c>
      <c r="D19" t="s">
        <v>41</v>
      </c>
      <c r="E19" s="9">
        <v>91.51000000000001</v>
      </c>
      <c r="F19" t="str">
        <f>VLOOKUP(C19,'Plan contable'!$A$2:$C$16,3,FALSE)</f>
        <v>Otros gastos de explotación</v>
      </c>
      <c r="G19">
        <f>MONTH(A19)</f>
        <v>1</v>
      </c>
      <c r="H19" t="str">
        <f>"T"&amp;ROUNDUP(G19/3,0)</f>
        <v>T1</v>
      </c>
    </row>
    <row r="20" spans="1:8">
      <c r="A20" s="10">
        <v>45671</v>
      </c>
      <c r="B20">
        <v>19</v>
      </c>
      <c r="C20">
        <v>705</v>
      </c>
      <c r="D20" t="s">
        <v>31</v>
      </c>
      <c r="E20" s="9">
        <v>1420.55</v>
      </c>
      <c r="F20" t="str">
        <f>VLOOKUP(C20,'Plan contable'!$A$2:$C$16,3,FALSE)</f>
        <v>Importe neto de la cifra de negocios</v>
      </c>
      <c r="G20">
        <f>MONTH(A20)</f>
        <v>1</v>
      </c>
      <c r="H20" t="str">
        <f>"T"&amp;ROUNDUP(G20/3,0)</f>
        <v>T1</v>
      </c>
    </row>
    <row r="21" spans="1:8">
      <c r="A21" s="10">
        <v>45674</v>
      </c>
      <c r="B21">
        <v>20</v>
      </c>
      <c r="C21">
        <v>629</v>
      </c>
      <c r="D21" t="s">
        <v>41</v>
      </c>
      <c r="E21" s="9">
        <v>71.17</v>
      </c>
      <c r="F21" t="str">
        <f>VLOOKUP(C21,'Plan contable'!$A$2:$C$16,3,FALSE)</f>
        <v>Otros gastos de explotación</v>
      </c>
      <c r="G21">
        <f>MONTH(A21)</f>
        <v>1</v>
      </c>
      <c r="H21" t="str">
        <f>"T"&amp;ROUNDUP(G21/3,0)</f>
        <v>T1</v>
      </c>
    </row>
    <row r="22" spans="1:8">
      <c r="A22" s="10">
        <v>45675</v>
      </c>
      <c r="B22">
        <v>21</v>
      </c>
      <c r="C22">
        <v>628</v>
      </c>
      <c r="D22" t="s">
        <v>40</v>
      </c>
      <c r="E22" s="9">
        <v>367.28</v>
      </c>
      <c r="F22" t="str">
        <f>VLOOKUP(C22,'Plan contable'!$A$2:$C$16,3,FALSE)</f>
        <v>Otros gastos de explotación</v>
      </c>
      <c r="G22">
        <f>MONTH(A22)</f>
        <v>1</v>
      </c>
      <c r="H22" t="str">
        <f>"T"&amp;ROUNDUP(G22/3,0)</f>
        <v>T1</v>
      </c>
    </row>
    <row r="23" spans="1:8">
      <c r="A23" s="10">
        <v>45675</v>
      </c>
      <c r="B23">
        <v>22</v>
      </c>
      <c r="C23">
        <v>705</v>
      </c>
      <c r="D23" t="s">
        <v>31</v>
      </c>
      <c r="E23" s="9">
        <v>1390.84</v>
      </c>
      <c r="F23" t="str">
        <f>VLOOKUP(C23,'Plan contable'!$A$2:$C$16,3,FALSE)</f>
        <v>Importe neto de la cifra de negocios</v>
      </c>
      <c r="G23">
        <f>MONTH(A23)</f>
        <v>1</v>
      </c>
      <c r="H23" t="str">
        <f>"T"&amp;ROUNDUP(G23/3,0)</f>
        <v>T1</v>
      </c>
    </row>
    <row r="24" spans="1:8">
      <c r="A24" s="10">
        <v>45676</v>
      </c>
      <c r="B24">
        <v>23</v>
      </c>
      <c r="C24">
        <v>600</v>
      </c>
      <c r="D24" t="s">
        <v>30</v>
      </c>
      <c r="E24" s="9">
        <v>1449.35</v>
      </c>
      <c r="F24" t="str">
        <f>VLOOKUP(C24,'Plan contable'!$A$2:$C$16,3,FALSE)</f>
        <v>Aprovisionamientos</v>
      </c>
      <c r="G24">
        <f>MONTH(A24)</f>
        <v>1</v>
      </c>
      <c r="H24" t="str">
        <f>"T"&amp;ROUNDUP(G24/3,0)</f>
        <v>T1</v>
      </c>
    </row>
    <row r="25" spans="1:8">
      <c r="A25" s="10">
        <v>45676</v>
      </c>
      <c r="B25">
        <v>24</v>
      </c>
      <c r="C25">
        <v>607</v>
      </c>
      <c r="D25" t="s">
        <v>36</v>
      </c>
      <c r="E25" s="9">
        <v>264.23</v>
      </c>
      <c r="F25" t="str">
        <f>VLOOKUP(C25,'Plan contable'!$A$2:$C$16,3,FALSE)</f>
        <v>Aprovisionamientos</v>
      </c>
      <c r="G25">
        <f>MONTH(A25)</f>
        <v>1</v>
      </c>
      <c r="H25" t="str">
        <f>"T"&amp;ROUNDUP(G25/3,0)</f>
        <v>T1</v>
      </c>
    </row>
    <row r="26" spans="1:8">
      <c r="A26" s="10">
        <v>45677</v>
      </c>
      <c r="B26">
        <v>25</v>
      </c>
      <c r="C26">
        <v>700</v>
      </c>
      <c r="D26" t="s">
        <v>32</v>
      </c>
      <c r="E26" s="9">
        <v>4329.45</v>
      </c>
      <c r="F26" t="str">
        <f>VLOOKUP(C26,'Plan contable'!$A$2:$C$16,3,FALSE)</f>
        <v>Importe neto de la cifra de negocios</v>
      </c>
      <c r="G26">
        <f>MONTH(A26)</f>
        <v>1</v>
      </c>
      <c r="H26" t="str">
        <f>"T"&amp;ROUNDUP(G26/3,0)</f>
        <v>T1</v>
      </c>
    </row>
    <row r="27" spans="1:8">
      <c r="A27" s="10">
        <v>45677</v>
      </c>
      <c r="B27">
        <v>26</v>
      </c>
      <c r="C27">
        <v>705</v>
      </c>
      <c r="D27" t="s">
        <v>31</v>
      </c>
      <c r="E27" s="9">
        <v>732.88</v>
      </c>
      <c r="F27" t="str">
        <f>VLOOKUP(C27,'Plan contable'!$A$2:$C$16,3,FALSE)</f>
        <v>Importe neto de la cifra de negocios</v>
      </c>
      <c r="G27">
        <f>MONTH(A27)</f>
        <v>1</v>
      </c>
      <c r="H27" t="str">
        <f>"T"&amp;ROUNDUP(G27/3,0)</f>
        <v>T1</v>
      </c>
    </row>
    <row r="28" spans="1:8">
      <c r="A28" s="10">
        <v>45678</v>
      </c>
      <c r="B28">
        <v>27</v>
      </c>
      <c r="C28">
        <v>622</v>
      </c>
      <c r="D28" t="s">
        <v>42</v>
      </c>
      <c r="E28" s="9">
        <v>507.39</v>
      </c>
      <c r="F28" t="str">
        <f>VLOOKUP(C28,'Plan contable'!$A$2:$C$16,3,FALSE)</f>
        <v>Otros gastos de explotación</v>
      </c>
      <c r="G28">
        <f>MONTH(A28)</f>
        <v>1</v>
      </c>
      <c r="H28" t="str">
        <f>"T"&amp;ROUNDUP(G28/3,0)</f>
        <v>T1</v>
      </c>
    </row>
    <row r="29" spans="1:8">
      <c r="A29" s="10">
        <v>45679</v>
      </c>
      <c r="B29">
        <v>28</v>
      </c>
      <c r="C29">
        <v>625</v>
      </c>
      <c r="D29" t="s">
        <v>43</v>
      </c>
      <c r="E29" s="9">
        <v>180</v>
      </c>
      <c r="F29" t="str">
        <f>VLOOKUP(C29,'Plan contable'!$A$2:$C$16,3,FALSE)</f>
        <v>Otros gastos de explotación</v>
      </c>
      <c r="G29">
        <f>MONTH(A29)</f>
        <v>1</v>
      </c>
      <c r="H29" t="str">
        <f>"T"&amp;ROUNDUP(G29/3,0)</f>
        <v>T1</v>
      </c>
    </row>
    <row r="30" spans="1:8">
      <c r="A30" s="10">
        <v>45681</v>
      </c>
      <c r="B30">
        <v>29</v>
      </c>
      <c r="C30">
        <v>600</v>
      </c>
      <c r="D30" t="s">
        <v>30</v>
      </c>
      <c r="E30" s="9">
        <v>1838.32</v>
      </c>
      <c r="F30" t="str">
        <f>VLOOKUP(C30,'Plan contable'!$A$2:$C$16,3,FALSE)</f>
        <v>Aprovisionamientos</v>
      </c>
      <c r="G30">
        <f>MONTH(A30)</f>
        <v>1</v>
      </c>
      <c r="H30" t="str">
        <f>"T"&amp;ROUNDUP(G30/3,0)</f>
        <v>T1</v>
      </c>
    </row>
    <row r="31" spans="1:8">
      <c r="A31" s="10">
        <v>45681</v>
      </c>
      <c r="B31">
        <v>30</v>
      </c>
      <c r="C31">
        <v>700</v>
      </c>
      <c r="D31" t="s">
        <v>32</v>
      </c>
      <c r="E31" s="9">
        <v>3345.69</v>
      </c>
      <c r="F31" t="str">
        <f>VLOOKUP(C31,'Plan contable'!$A$2:$C$16,3,FALSE)</f>
        <v>Importe neto de la cifra de negocios</v>
      </c>
      <c r="G31">
        <f>MONTH(A31)</f>
        <v>1</v>
      </c>
      <c r="H31" t="str">
        <f>"T"&amp;ROUNDUP(G31/3,0)</f>
        <v>T1</v>
      </c>
    </row>
    <row r="32" spans="1:8">
      <c r="A32" s="10">
        <v>45682</v>
      </c>
      <c r="B32">
        <v>31</v>
      </c>
      <c r="C32">
        <v>621</v>
      </c>
      <c r="D32" t="s">
        <v>44</v>
      </c>
      <c r="E32" s="9">
        <v>1800</v>
      </c>
      <c r="F32" t="str">
        <f>VLOOKUP(C32,'Plan contable'!$A$2:$C$16,3,FALSE)</f>
        <v>Otros gastos de explotación</v>
      </c>
      <c r="G32">
        <f>MONTH(A32)</f>
        <v>1</v>
      </c>
      <c r="H32" t="str">
        <f>"T"&amp;ROUNDUP(G32/3,0)</f>
        <v>T1</v>
      </c>
    </row>
    <row r="33" spans="1:8">
      <c r="A33" s="10">
        <v>45689</v>
      </c>
      <c r="B33">
        <v>32</v>
      </c>
      <c r="C33">
        <v>700</v>
      </c>
      <c r="D33" t="s">
        <v>45</v>
      </c>
      <c r="E33" s="9">
        <v>2342.4</v>
      </c>
      <c r="F33" t="str">
        <f>VLOOKUP(C33,'Plan contable'!$A$2:$C$16,3,FALSE)</f>
        <v>Importe neto de la cifra de negocios</v>
      </c>
      <c r="G33">
        <f>MONTH(A33)</f>
        <v>2</v>
      </c>
      <c r="H33" t="str">
        <f>"T"&amp;ROUNDUP(G33/3,0)</f>
        <v>T1</v>
      </c>
    </row>
    <row r="34" spans="1:8">
      <c r="A34" s="10">
        <v>45690</v>
      </c>
      <c r="B34">
        <v>33</v>
      </c>
      <c r="C34">
        <v>600</v>
      </c>
      <c r="D34" t="s">
        <v>46</v>
      </c>
      <c r="E34" s="9">
        <v>700.51</v>
      </c>
      <c r="F34" t="str">
        <f>VLOOKUP(C34,'Plan contable'!$A$2:$C$16,3,FALSE)</f>
        <v>Aprovisionamientos</v>
      </c>
      <c r="G34">
        <f>MONTH(A34)</f>
        <v>2</v>
      </c>
      <c r="H34" t="str">
        <f>"T"&amp;ROUNDUP(G34/3,0)</f>
        <v>T1</v>
      </c>
    </row>
    <row r="35" spans="1:8">
      <c r="A35" s="10">
        <v>45690</v>
      </c>
      <c r="B35">
        <v>34</v>
      </c>
      <c r="C35">
        <v>642</v>
      </c>
      <c r="D35" t="s">
        <v>47</v>
      </c>
      <c r="E35" s="9">
        <v>4650</v>
      </c>
      <c r="F35" t="str">
        <f>VLOOKUP(C35,'Plan contable'!$A$2:$C$16,3,FALSE)</f>
        <v>Gastos de personal</v>
      </c>
      <c r="G35">
        <f>MONTH(A35)</f>
        <v>2</v>
      </c>
      <c r="H35" t="str">
        <f>"T"&amp;ROUNDUP(G35/3,0)</f>
        <v>T1</v>
      </c>
    </row>
    <row r="36" spans="1:8">
      <c r="A36" s="10">
        <v>45690</v>
      </c>
      <c r="B36">
        <v>35</v>
      </c>
      <c r="C36">
        <v>705</v>
      </c>
      <c r="D36" t="s">
        <v>48</v>
      </c>
      <c r="E36" s="9">
        <v>1708.36</v>
      </c>
      <c r="F36" t="str">
        <f>VLOOKUP(C36,'Plan contable'!$A$2:$C$16,3,FALSE)</f>
        <v>Importe neto de la cifra de negocios</v>
      </c>
      <c r="G36">
        <f>MONTH(A36)</f>
        <v>2</v>
      </c>
      <c r="H36" t="str">
        <f>"T"&amp;ROUNDUP(G36/3,0)</f>
        <v>T1</v>
      </c>
    </row>
    <row r="37" spans="1:8">
      <c r="A37" s="10">
        <v>45691</v>
      </c>
      <c r="B37">
        <v>36</v>
      </c>
      <c r="C37">
        <v>629</v>
      </c>
      <c r="D37" t="s">
        <v>49</v>
      </c>
      <c r="E37" s="9">
        <v>135.79</v>
      </c>
      <c r="F37" t="str">
        <f>VLOOKUP(C37,'Plan contable'!$A$2:$C$16,3,FALSE)</f>
        <v>Otros gastos de explotación</v>
      </c>
      <c r="G37">
        <f>MONTH(A37)</f>
        <v>2</v>
      </c>
      <c r="H37" t="str">
        <f>"T"&amp;ROUNDUP(G37/3,0)</f>
        <v>T1</v>
      </c>
    </row>
    <row r="38" spans="1:8">
      <c r="A38" s="10">
        <v>45692</v>
      </c>
      <c r="B38">
        <v>37</v>
      </c>
      <c r="C38">
        <v>621</v>
      </c>
      <c r="D38" t="s">
        <v>50</v>
      </c>
      <c r="E38" s="9">
        <v>1800</v>
      </c>
      <c r="F38" t="str">
        <f>VLOOKUP(C38,'Plan contable'!$A$2:$C$16,3,FALSE)</f>
        <v>Otros gastos de explotación</v>
      </c>
      <c r="G38">
        <f>MONTH(A38)</f>
        <v>2</v>
      </c>
      <c r="H38" t="str">
        <f>"T"&amp;ROUNDUP(G38/3,0)</f>
        <v>T1</v>
      </c>
    </row>
    <row r="39" spans="1:8">
      <c r="A39" s="10">
        <v>45692</v>
      </c>
      <c r="B39">
        <v>38</v>
      </c>
      <c r="C39">
        <v>681</v>
      </c>
      <c r="D39" t="s">
        <v>51</v>
      </c>
      <c r="E39" s="9">
        <v>1250</v>
      </c>
      <c r="F39" t="str">
        <f>VLOOKUP(C39,'Plan contable'!$A$2:$C$16,3,FALSE)</f>
        <v>Amortización del inmovilizado</v>
      </c>
      <c r="G39">
        <f>MONTH(A39)</f>
        <v>2</v>
      </c>
      <c r="H39" t="str">
        <f>"T"&amp;ROUNDUP(G39/3,0)</f>
        <v>T1</v>
      </c>
    </row>
    <row r="40" spans="1:8">
      <c r="A40" s="10">
        <v>45693</v>
      </c>
      <c r="B40">
        <v>39</v>
      </c>
      <c r="C40">
        <v>607</v>
      </c>
      <c r="D40" t="s">
        <v>52</v>
      </c>
      <c r="E40" s="9">
        <v>1035.7</v>
      </c>
      <c r="F40" t="str">
        <f>VLOOKUP(C40,'Plan contable'!$A$2:$C$16,3,FALSE)</f>
        <v>Aprovisionamientos</v>
      </c>
      <c r="G40">
        <f>MONTH(A40)</f>
        <v>2</v>
      </c>
      <c r="H40" t="str">
        <f>"T"&amp;ROUNDUP(G40/3,0)</f>
        <v>T1</v>
      </c>
    </row>
    <row r="41" spans="1:8">
      <c r="A41" s="10">
        <v>45694</v>
      </c>
      <c r="B41">
        <v>40</v>
      </c>
      <c r="C41">
        <v>600</v>
      </c>
      <c r="D41" t="s">
        <v>46</v>
      </c>
      <c r="E41" s="9">
        <v>648.24</v>
      </c>
      <c r="F41" t="str">
        <f>VLOOKUP(C41,'Plan contable'!$A$2:$C$16,3,FALSE)</f>
        <v>Aprovisionamientos</v>
      </c>
      <c r="G41">
        <f>MONTH(A41)</f>
        <v>2</v>
      </c>
      <c r="H41" t="str">
        <f>"T"&amp;ROUNDUP(G41/3,0)</f>
        <v>T1</v>
      </c>
    </row>
    <row r="42" spans="1:8">
      <c r="A42" s="10">
        <v>45695</v>
      </c>
      <c r="B42">
        <v>41</v>
      </c>
      <c r="C42">
        <v>705</v>
      </c>
      <c r="D42" t="s">
        <v>48</v>
      </c>
      <c r="E42" s="9">
        <v>1165.59</v>
      </c>
      <c r="F42" t="str">
        <f>VLOOKUP(C42,'Plan contable'!$A$2:$C$16,3,FALSE)</f>
        <v>Importe neto de la cifra de negocios</v>
      </c>
      <c r="G42">
        <f>MONTH(A42)</f>
        <v>2</v>
      </c>
      <c r="H42" t="str">
        <f>"T"&amp;ROUNDUP(G42/3,0)</f>
        <v>T1</v>
      </c>
    </row>
    <row r="43" spans="1:8">
      <c r="A43" s="10">
        <v>45699</v>
      </c>
      <c r="B43">
        <v>42</v>
      </c>
      <c r="C43">
        <v>600</v>
      </c>
      <c r="D43" t="s">
        <v>46</v>
      </c>
      <c r="E43" s="9">
        <v>2055.64</v>
      </c>
      <c r="F43" t="str">
        <f>VLOOKUP(C43,'Plan contable'!$A$2:$C$16,3,FALSE)</f>
        <v>Aprovisionamientos</v>
      </c>
      <c r="G43">
        <f>MONTH(A43)</f>
        <v>2</v>
      </c>
      <c r="H43" t="str">
        <f>"T"&amp;ROUNDUP(G43/3,0)</f>
        <v>T1</v>
      </c>
    </row>
    <row r="44" spans="1:8">
      <c r="A44" s="10">
        <v>45700</v>
      </c>
      <c r="B44">
        <v>43</v>
      </c>
      <c r="C44">
        <v>629</v>
      </c>
      <c r="D44" t="s">
        <v>49</v>
      </c>
      <c r="E44" s="9">
        <v>191.85</v>
      </c>
      <c r="F44" t="str">
        <f>VLOOKUP(C44,'Plan contable'!$A$2:$C$16,3,FALSE)</f>
        <v>Otros gastos de explotación</v>
      </c>
      <c r="G44">
        <f>MONTH(A44)</f>
        <v>2</v>
      </c>
      <c r="H44" t="str">
        <f>"T"&amp;ROUNDUP(G44/3,0)</f>
        <v>T1</v>
      </c>
    </row>
    <row r="45" spans="1:8">
      <c r="A45" s="10">
        <v>45701</v>
      </c>
      <c r="B45">
        <v>44</v>
      </c>
      <c r="C45">
        <v>600</v>
      </c>
      <c r="D45" t="s">
        <v>46</v>
      </c>
      <c r="E45" s="9">
        <v>1158.62</v>
      </c>
      <c r="F45" t="str">
        <f>VLOOKUP(C45,'Plan contable'!$A$2:$C$16,3,FALSE)</f>
        <v>Aprovisionamientos</v>
      </c>
      <c r="G45">
        <f>MONTH(A45)</f>
        <v>2</v>
      </c>
      <c r="H45" t="str">
        <f>"T"&amp;ROUNDUP(G45/3,0)</f>
        <v>T1</v>
      </c>
    </row>
    <row r="46" spans="1:8">
      <c r="A46" s="10">
        <v>45701</v>
      </c>
      <c r="B46">
        <v>45</v>
      </c>
      <c r="C46">
        <v>705</v>
      </c>
      <c r="D46" t="s">
        <v>48</v>
      </c>
      <c r="E46" s="9">
        <v>508.79</v>
      </c>
      <c r="F46" t="str">
        <f>VLOOKUP(C46,'Plan contable'!$A$2:$C$16,3,FALSE)</f>
        <v>Importe neto de la cifra de negocios</v>
      </c>
      <c r="G46">
        <f>MONTH(A46)</f>
        <v>2</v>
      </c>
      <c r="H46" t="str">
        <f>"T"&amp;ROUNDUP(G46/3,0)</f>
        <v>T1</v>
      </c>
    </row>
    <row r="47" spans="1:8">
      <c r="A47" s="10">
        <v>45702</v>
      </c>
      <c r="B47">
        <v>46</v>
      </c>
      <c r="C47">
        <v>700</v>
      </c>
      <c r="D47" t="s">
        <v>45</v>
      </c>
      <c r="E47" s="9">
        <v>1749.64</v>
      </c>
      <c r="F47" t="str">
        <f>VLOOKUP(C47,'Plan contable'!$A$2:$C$16,3,FALSE)</f>
        <v>Importe neto de la cifra de negocios</v>
      </c>
      <c r="G47">
        <f>MONTH(A47)</f>
        <v>2</v>
      </c>
      <c r="H47" t="str">
        <f>"T"&amp;ROUNDUP(G47/3,0)</f>
        <v>T1</v>
      </c>
    </row>
    <row r="48" spans="1:8">
      <c r="A48" s="10">
        <v>45702</v>
      </c>
      <c r="B48">
        <v>47</v>
      </c>
      <c r="C48">
        <v>705</v>
      </c>
      <c r="D48" t="s">
        <v>48</v>
      </c>
      <c r="E48" s="9">
        <v>1515.6</v>
      </c>
      <c r="F48" t="str">
        <f>VLOOKUP(C48,'Plan contable'!$A$2:$C$16,3,FALSE)</f>
        <v>Importe neto de la cifra de negocios</v>
      </c>
      <c r="G48">
        <f>MONTH(A48)</f>
        <v>2</v>
      </c>
      <c r="H48" t="str">
        <f>"T"&amp;ROUNDUP(G48/3,0)</f>
        <v>T1</v>
      </c>
    </row>
    <row r="49" spans="1:8">
      <c r="A49" s="10">
        <v>45703</v>
      </c>
      <c r="B49">
        <v>48</v>
      </c>
      <c r="C49">
        <v>700</v>
      </c>
      <c r="D49" t="s">
        <v>45</v>
      </c>
      <c r="E49" s="9">
        <v>2507.82</v>
      </c>
      <c r="F49" t="str">
        <f>VLOOKUP(C49,'Plan contable'!$A$2:$C$16,3,FALSE)</f>
        <v>Importe neto de la cifra de negocios</v>
      </c>
      <c r="G49">
        <f>MONTH(A49)</f>
        <v>2</v>
      </c>
      <c r="H49" t="str">
        <f>"T"&amp;ROUNDUP(G49/3,0)</f>
        <v>T1</v>
      </c>
    </row>
    <row r="50" spans="1:8">
      <c r="A50" s="10">
        <v>45703</v>
      </c>
      <c r="B50">
        <v>49</v>
      </c>
      <c r="C50">
        <v>705</v>
      </c>
      <c r="D50" t="s">
        <v>48</v>
      </c>
      <c r="E50" s="9">
        <v>1664.15</v>
      </c>
      <c r="F50" t="str">
        <f>VLOOKUP(C50,'Plan contable'!$A$2:$C$16,3,FALSE)</f>
        <v>Importe neto de la cifra de negocios</v>
      </c>
      <c r="G50">
        <f>MONTH(A50)</f>
        <v>2</v>
      </c>
      <c r="H50" t="str">
        <f>"T"&amp;ROUNDUP(G50/3,0)</f>
        <v>T1</v>
      </c>
    </row>
    <row r="51" spans="1:8">
      <c r="A51" s="10">
        <v>45704</v>
      </c>
      <c r="B51">
        <v>50</v>
      </c>
      <c r="C51">
        <v>628</v>
      </c>
      <c r="D51" t="s">
        <v>53</v>
      </c>
      <c r="E51" s="9">
        <v>269.52</v>
      </c>
      <c r="F51" t="str">
        <f>VLOOKUP(C51,'Plan contable'!$A$2:$C$16,3,FALSE)</f>
        <v>Otros gastos de explotación</v>
      </c>
      <c r="G51">
        <f>MONTH(A51)</f>
        <v>2</v>
      </c>
      <c r="H51" t="str">
        <f>"T"&amp;ROUNDUP(G51/3,0)</f>
        <v>T1</v>
      </c>
    </row>
    <row r="52" spans="1:8">
      <c r="A52" s="10">
        <v>45705</v>
      </c>
      <c r="B52">
        <v>51</v>
      </c>
      <c r="C52">
        <v>700</v>
      </c>
      <c r="D52" t="s">
        <v>45</v>
      </c>
      <c r="E52" s="9">
        <v>2728.17</v>
      </c>
      <c r="F52" t="str">
        <f>VLOOKUP(C52,'Plan contable'!$A$2:$C$16,3,FALSE)</f>
        <v>Importe neto de la cifra de negocios</v>
      </c>
      <c r="G52">
        <f>MONTH(A52)</f>
        <v>2</v>
      </c>
      <c r="H52" t="str">
        <f>"T"&amp;ROUNDUP(G52/3,0)</f>
        <v>T1</v>
      </c>
    </row>
    <row r="53" spans="1:8">
      <c r="A53" s="10">
        <v>45707</v>
      </c>
      <c r="B53">
        <v>52</v>
      </c>
      <c r="C53">
        <v>622</v>
      </c>
      <c r="D53" t="s">
        <v>54</v>
      </c>
      <c r="E53" s="9">
        <v>463.07</v>
      </c>
      <c r="F53" t="str">
        <f>VLOOKUP(C53,'Plan contable'!$A$2:$C$16,3,FALSE)</f>
        <v>Otros gastos de explotación</v>
      </c>
      <c r="G53">
        <f>MONTH(A53)</f>
        <v>2</v>
      </c>
      <c r="H53" t="str">
        <f>"T"&amp;ROUNDUP(G53/3,0)</f>
        <v>T1</v>
      </c>
    </row>
    <row r="54" spans="1:8">
      <c r="A54" s="10">
        <v>45707</v>
      </c>
      <c r="B54">
        <v>53</v>
      </c>
      <c r="C54">
        <v>627</v>
      </c>
      <c r="D54" t="s">
        <v>55</v>
      </c>
      <c r="E54" s="9">
        <v>412.63</v>
      </c>
      <c r="F54" t="str">
        <f>VLOOKUP(C54,'Plan contable'!$A$2:$C$16,3,FALSE)</f>
        <v>Otros gastos de explotación</v>
      </c>
      <c r="G54">
        <f>MONTH(A54)</f>
        <v>2</v>
      </c>
      <c r="H54" t="str">
        <f>"T"&amp;ROUNDUP(G54/3,0)</f>
        <v>T1</v>
      </c>
    </row>
    <row r="55" spans="1:8">
      <c r="A55" s="10">
        <v>45708</v>
      </c>
      <c r="B55">
        <v>54</v>
      </c>
      <c r="C55">
        <v>662</v>
      </c>
      <c r="D55" t="s">
        <v>56</v>
      </c>
      <c r="E55" s="9">
        <v>374.72</v>
      </c>
      <c r="F55" t="str">
        <f>VLOOKUP(C55,'Plan contable'!$A$2:$C$16,3,FALSE)</f>
        <v>Gastos financieros</v>
      </c>
      <c r="G55">
        <f>MONTH(A55)</f>
        <v>2</v>
      </c>
      <c r="H55" t="str">
        <f>"T"&amp;ROUNDUP(G55/3,0)</f>
        <v>T1</v>
      </c>
    </row>
    <row r="56" spans="1:8">
      <c r="A56" s="10">
        <v>45708</v>
      </c>
      <c r="B56">
        <v>55</v>
      </c>
      <c r="C56">
        <v>700</v>
      </c>
      <c r="D56" t="s">
        <v>45</v>
      </c>
      <c r="E56" s="9">
        <v>3090.36</v>
      </c>
      <c r="F56" t="str">
        <f>VLOOKUP(C56,'Plan contable'!$A$2:$C$16,3,FALSE)</f>
        <v>Importe neto de la cifra de negocios</v>
      </c>
      <c r="G56">
        <f>MONTH(A56)</f>
        <v>2</v>
      </c>
      <c r="H56" t="str">
        <f>"T"&amp;ROUNDUP(G56/3,0)</f>
        <v>T1</v>
      </c>
    </row>
    <row r="57" spans="1:8">
      <c r="A57" s="10">
        <v>45709</v>
      </c>
      <c r="B57">
        <v>56</v>
      </c>
      <c r="C57">
        <v>600</v>
      </c>
      <c r="D57" t="s">
        <v>46</v>
      </c>
      <c r="E57" s="9">
        <v>906.02</v>
      </c>
      <c r="F57" t="str">
        <f>VLOOKUP(C57,'Plan contable'!$A$2:$C$16,3,FALSE)</f>
        <v>Aprovisionamientos</v>
      </c>
      <c r="G57">
        <f>MONTH(A57)</f>
        <v>2</v>
      </c>
      <c r="H57" t="str">
        <f>"T"&amp;ROUNDUP(G57/3,0)</f>
        <v>T1</v>
      </c>
    </row>
    <row r="58" spans="1:8">
      <c r="A58" s="10">
        <v>45709</v>
      </c>
      <c r="B58">
        <v>57</v>
      </c>
      <c r="C58">
        <v>607</v>
      </c>
      <c r="D58" t="s">
        <v>52</v>
      </c>
      <c r="E58" s="9">
        <v>975.99</v>
      </c>
      <c r="F58" t="str">
        <f>VLOOKUP(C58,'Plan contable'!$A$2:$C$16,3,FALSE)</f>
        <v>Aprovisionamientos</v>
      </c>
      <c r="G58">
        <f>MONTH(A58)</f>
        <v>2</v>
      </c>
      <c r="H58" t="str">
        <f>"T"&amp;ROUNDUP(G58/3,0)</f>
        <v>T1</v>
      </c>
    </row>
    <row r="59" spans="1:8">
      <c r="A59" s="10">
        <v>45709</v>
      </c>
      <c r="B59">
        <v>58</v>
      </c>
      <c r="C59">
        <v>640</v>
      </c>
      <c r="D59" t="s">
        <v>57</v>
      </c>
      <c r="E59" s="9">
        <v>14500</v>
      </c>
      <c r="F59" t="str">
        <f>VLOOKUP(C59,'Plan contable'!$A$2:$C$16,3,FALSE)</f>
        <v>Gastos de personal</v>
      </c>
      <c r="G59">
        <f>MONTH(A59)</f>
        <v>2</v>
      </c>
      <c r="H59" t="str">
        <f>"T"&amp;ROUNDUP(G59/3,0)</f>
        <v>T1</v>
      </c>
    </row>
    <row r="60" spans="1:8">
      <c r="A60" s="10">
        <v>45710</v>
      </c>
      <c r="B60">
        <v>59</v>
      </c>
      <c r="C60">
        <v>628</v>
      </c>
      <c r="D60" t="s">
        <v>53</v>
      </c>
      <c r="E60" s="9">
        <v>331.05</v>
      </c>
      <c r="F60" t="str">
        <f>VLOOKUP(C60,'Plan contable'!$A$2:$C$16,3,FALSE)</f>
        <v>Otros gastos de explotación</v>
      </c>
      <c r="G60">
        <f>MONTH(A60)</f>
        <v>2</v>
      </c>
      <c r="H60" t="str">
        <f>"T"&amp;ROUNDUP(G60/3,0)</f>
        <v>T1</v>
      </c>
    </row>
    <row r="61" spans="1:8">
      <c r="A61" s="10">
        <v>45710</v>
      </c>
      <c r="B61">
        <v>60</v>
      </c>
      <c r="C61">
        <v>700</v>
      </c>
      <c r="D61" t="s">
        <v>45</v>
      </c>
      <c r="E61" s="9">
        <v>4047.76</v>
      </c>
      <c r="F61" t="str">
        <f>VLOOKUP(C61,'Plan contable'!$A$2:$C$16,3,FALSE)</f>
        <v>Importe neto de la cifra de negocios</v>
      </c>
      <c r="G61">
        <f>MONTH(A61)</f>
        <v>2</v>
      </c>
      <c r="H61" t="str">
        <f>"T"&amp;ROUNDUP(G61/3,0)</f>
        <v>T1</v>
      </c>
    </row>
    <row r="62" spans="1:8">
      <c r="A62" s="10">
        <v>45711</v>
      </c>
      <c r="B62">
        <v>61</v>
      </c>
      <c r="C62">
        <v>625</v>
      </c>
      <c r="D62" t="s">
        <v>58</v>
      </c>
      <c r="E62" s="9">
        <v>180</v>
      </c>
      <c r="F62" t="str">
        <f>VLOOKUP(C62,'Plan contable'!$A$2:$C$16,3,FALSE)</f>
        <v>Otros gastos de explotación</v>
      </c>
      <c r="G62">
        <f>MONTH(A62)</f>
        <v>2</v>
      </c>
      <c r="H62" t="str">
        <f>"T"&amp;ROUNDUP(G62/3,0)</f>
        <v>T1</v>
      </c>
    </row>
    <row r="63" spans="1:8">
      <c r="A63" s="10">
        <v>45716</v>
      </c>
      <c r="B63">
        <v>62</v>
      </c>
      <c r="C63">
        <v>623</v>
      </c>
      <c r="D63" t="s">
        <v>59</v>
      </c>
      <c r="E63" s="9">
        <v>292.02</v>
      </c>
      <c r="F63" t="str">
        <f>VLOOKUP(C63,'Plan contable'!$A$2:$C$16,3,FALSE)</f>
        <v>Otros gastos de explotación</v>
      </c>
      <c r="G63">
        <f>MONTH(A63)</f>
        <v>2</v>
      </c>
      <c r="H63" t="str">
        <f>"T"&amp;ROUNDUP(G63/3,0)</f>
        <v>T1</v>
      </c>
    </row>
    <row r="64" spans="1:8">
      <c r="A64" s="10">
        <v>45717</v>
      </c>
      <c r="B64">
        <v>63</v>
      </c>
      <c r="C64">
        <v>629</v>
      </c>
      <c r="D64" t="s">
        <v>60</v>
      </c>
      <c r="E64" s="9">
        <v>109.78</v>
      </c>
      <c r="F64" t="str">
        <f>VLOOKUP(C64,'Plan contable'!$A$2:$C$16,3,FALSE)</f>
        <v>Otros gastos de explotación</v>
      </c>
      <c r="G64">
        <f>MONTH(A64)</f>
        <v>3</v>
      </c>
      <c r="H64" t="str">
        <f>"T"&amp;ROUNDUP(G64/3,0)</f>
        <v>T1</v>
      </c>
    </row>
    <row r="65" spans="1:8">
      <c r="A65" s="10">
        <v>45717</v>
      </c>
      <c r="B65">
        <v>64</v>
      </c>
      <c r="C65">
        <v>662</v>
      </c>
      <c r="D65" t="s">
        <v>61</v>
      </c>
      <c r="E65" s="9">
        <v>379.27</v>
      </c>
      <c r="F65" t="str">
        <f>VLOOKUP(C65,'Plan contable'!$A$2:$C$16,3,FALSE)</f>
        <v>Gastos financieros</v>
      </c>
      <c r="G65">
        <f>MONTH(A65)</f>
        <v>3</v>
      </c>
      <c r="H65" t="str">
        <f>"T"&amp;ROUNDUP(G65/3,0)</f>
        <v>T1</v>
      </c>
    </row>
    <row r="66" spans="1:8">
      <c r="A66" s="10">
        <v>45718</v>
      </c>
      <c r="B66">
        <v>65</v>
      </c>
      <c r="C66">
        <v>607</v>
      </c>
      <c r="D66" t="s">
        <v>62</v>
      </c>
      <c r="E66" s="9">
        <v>449.58</v>
      </c>
      <c r="F66" t="str">
        <f>VLOOKUP(C66,'Plan contable'!$A$2:$C$16,3,FALSE)</f>
        <v>Aprovisionamientos</v>
      </c>
      <c r="G66">
        <f>MONTH(A66)</f>
        <v>3</v>
      </c>
      <c r="H66" t="str">
        <f>"T"&amp;ROUNDUP(G66/3,0)</f>
        <v>T1</v>
      </c>
    </row>
    <row r="67" spans="1:8">
      <c r="A67" s="10">
        <v>45718</v>
      </c>
      <c r="B67">
        <v>66</v>
      </c>
      <c r="C67">
        <v>640</v>
      </c>
      <c r="D67" t="s">
        <v>63</v>
      </c>
      <c r="E67" s="9">
        <v>14500</v>
      </c>
      <c r="F67" t="str">
        <f>VLOOKUP(C67,'Plan contable'!$A$2:$C$16,3,FALSE)</f>
        <v>Gastos de personal</v>
      </c>
      <c r="G67">
        <f>MONTH(A67)</f>
        <v>3</v>
      </c>
      <c r="H67" t="str">
        <f>"T"&amp;ROUNDUP(G67/3,0)</f>
        <v>T1</v>
      </c>
    </row>
    <row r="68" spans="1:8">
      <c r="A68" s="10">
        <v>45719</v>
      </c>
      <c r="B68">
        <v>67</v>
      </c>
      <c r="C68">
        <v>627</v>
      </c>
      <c r="D68" t="s">
        <v>64</v>
      </c>
      <c r="E68" s="9">
        <v>1123.88</v>
      </c>
      <c r="F68" t="str">
        <f>VLOOKUP(C68,'Plan contable'!$A$2:$C$16,3,FALSE)</f>
        <v>Otros gastos de explotación</v>
      </c>
      <c r="G68">
        <f>MONTH(A68)</f>
        <v>3</v>
      </c>
      <c r="H68" t="str">
        <f>"T"&amp;ROUNDUP(G68/3,0)</f>
        <v>T1</v>
      </c>
    </row>
    <row r="69" spans="1:8">
      <c r="A69" s="10">
        <v>45719</v>
      </c>
      <c r="B69">
        <v>68</v>
      </c>
      <c r="C69">
        <v>700</v>
      </c>
      <c r="D69" t="s">
        <v>65</v>
      </c>
      <c r="E69" s="9">
        <v>2464.96</v>
      </c>
      <c r="F69" t="str">
        <f>VLOOKUP(C69,'Plan contable'!$A$2:$C$16,3,FALSE)</f>
        <v>Importe neto de la cifra de negocios</v>
      </c>
      <c r="G69">
        <f>MONTH(A69)</f>
        <v>3</v>
      </c>
      <c r="H69" t="str">
        <f>"T"&amp;ROUNDUP(G69/3,0)</f>
        <v>T1</v>
      </c>
    </row>
    <row r="70" spans="1:8">
      <c r="A70" s="10">
        <v>45719</v>
      </c>
      <c r="B70">
        <v>69</v>
      </c>
      <c r="C70">
        <v>705</v>
      </c>
      <c r="D70" t="s">
        <v>66</v>
      </c>
      <c r="E70" s="9">
        <v>1757.27</v>
      </c>
      <c r="F70" t="str">
        <f>VLOOKUP(C70,'Plan contable'!$A$2:$C$16,3,FALSE)</f>
        <v>Importe neto de la cifra de negocios</v>
      </c>
      <c r="G70">
        <f>MONTH(A70)</f>
        <v>3</v>
      </c>
      <c r="H70" t="str">
        <f>"T"&amp;ROUNDUP(G70/3,0)</f>
        <v>T1</v>
      </c>
    </row>
    <row r="71" spans="1:8">
      <c r="A71" s="10">
        <v>45720</v>
      </c>
      <c r="B71">
        <v>70</v>
      </c>
      <c r="C71">
        <v>700</v>
      </c>
      <c r="D71" t="s">
        <v>65</v>
      </c>
      <c r="E71" s="9">
        <v>1551.54</v>
      </c>
      <c r="F71" t="str">
        <f>VLOOKUP(C71,'Plan contable'!$A$2:$C$16,3,FALSE)</f>
        <v>Importe neto de la cifra de negocios</v>
      </c>
      <c r="G71">
        <f>MONTH(A71)</f>
        <v>3</v>
      </c>
      <c r="H71" t="str">
        <f>"T"&amp;ROUNDUP(G71/3,0)</f>
        <v>T1</v>
      </c>
    </row>
    <row r="72" spans="1:8">
      <c r="A72" s="10">
        <v>45722</v>
      </c>
      <c r="B72">
        <v>71</v>
      </c>
      <c r="C72">
        <v>700</v>
      </c>
      <c r="D72" t="s">
        <v>65</v>
      </c>
      <c r="E72" s="9">
        <v>3282.21</v>
      </c>
      <c r="F72" t="str">
        <f>VLOOKUP(C72,'Plan contable'!$A$2:$C$16,3,FALSE)</f>
        <v>Importe neto de la cifra de negocios</v>
      </c>
      <c r="G72">
        <f>MONTH(A72)</f>
        <v>3</v>
      </c>
      <c r="H72" t="str">
        <f>"T"&amp;ROUNDUP(G72/3,0)</f>
        <v>T1</v>
      </c>
    </row>
    <row r="73" spans="1:8">
      <c r="A73" s="10">
        <v>45722</v>
      </c>
      <c r="B73">
        <v>72</v>
      </c>
      <c r="C73">
        <v>705</v>
      </c>
      <c r="D73" t="s">
        <v>66</v>
      </c>
      <c r="E73" s="9">
        <v>530.3099999999999</v>
      </c>
      <c r="F73" t="str">
        <f>VLOOKUP(C73,'Plan contable'!$A$2:$C$16,3,FALSE)</f>
        <v>Importe neto de la cifra de negocios</v>
      </c>
      <c r="G73">
        <f>MONTH(A73)</f>
        <v>3</v>
      </c>
      <c r="H73" t="str">
        <f>"T"&amp;ROUNDUP(G73/3,0)</f>
        <v>T1</v>
      </c>
    </row>
    <row r="74" spans="1:8">
      <c r="A74" s="10">
        <v>45723</v>
      </c>
      <c r="B74">
        <v>73</v>
      </c>
      <c r="C74">
        <v>705</v>
      </c>
      <c r="D74" t="s">
        <v>66</v>
      </c>
      <c r="E74" s="9">
        <v>1194.74</v>
      </c>
      <c r="F74" t="str">
        <f>VLOOKUP(C74,'Plan contable'!$A$2:$C$16,3,FALSE)</f>
        <v>Importe neto de la cifra de negocios</v>
      </c>
      <c r="G74">
        <f>MONTH(A74)</f>
        <v>3</v>
      </c>
      <c r="H74" t="str">
        <f>"T"&amp;ROUNDUP(G74/3,0)</f>
        <v>T1</v>
      </c>
    </row>
    <row r="75" spans="1:8">
      <c r="A75" s="10">
        <v>45724</v>
      </c>
      <c r="B75">
        <v>74</v>
      </c>
      <c r="C75">
        <v>625</v>
      </c>
      <c r="D75" t="s">
        <v>67</v>
      </c>
      <c r="E75" s="9">
        <v>180</v>
      </c>
      <c r="F75" t="str">
        <f>VLOOKUP(C75,'Plan contable'!$A$2:$C$16,3,FALSE)</f>
        <v>Otros gastos de explotación</v>
      </c>
      <c r="G75">
        <f>MONTH(A75)</f>
        <v>3</v>
      </c>
      <c r="H75" t="str">
        <f>"T"&amp;ROUNDUP(G75/3,0)</f>
        <v>T1</v>
      </c>
    </row>
    <row r="76" spans="1:8">
      <c r="A76" s="10">
        <v>45725</v>
      </c>
      <c r="B76">
        <v>75</v>
      </c>
      <c r="C76">
        <v>700</v>
      </c>
      <c r="D76" t="s">
        <v>65</v>
      </c>
      <c r="E76" s="9">
        <v>2002.4</v>
      </c>
      <c r="F76" t="str">
        <f>VLOOKUP(C76,'Plan contable'!$A$2:$C$16,3,FALSE)</f>
        <v>Importe neto de la cifra de negocios</v>
      </c>
      <c r="G76">
        <f>MONTH(A76)</f>
        <v>3</v>
      </c>
      <c r="H76" t="str">
        <f>"T"&amp;ROUNDUP(G76/3,0)</f>
        <v>T1</v>
      </c>
    </row>
    <row r="77" spans="1:8">
      <c r="A77" s="10">
        <v>45728</v>
      </c>
      <c r="B77">
        <v>76</v>
      </c>
      <c r="C77">
        <v>705</v>
      </c>
      <c r="D77" t="s">
        <v>66</v>
      </c>
      <c r="E77" s="9">
        <v>1382.49</v>
      </c>
      <c r="F77" t="str">
        <f>VLOOKUP(C77,'Plan contable'!$A$2:$C$16,3,FALSE)</f>
        <v>Importe neto de la cifra de negocios</v>
      </c>
      <c r="G77">
        <f>MONTH(A77)</f>
        <v>3</v>
      </c>
      <c r="H77" t="str">
        <f>"T"&amp;ROUNDUP(G77/3,0)</f>
        <v>T1</v>
      </c>
    </row>
    <row r="78" spans="1:8">
      <c r="A78" s="10">
        <v>45729</v>
      </c>
      <c r="B78">
        <v>77</v>
      </c>
      <c r="C78">
        <v>600</v>
      </c>
      <c r="D78" t="s">
        <v>68</v>
      </c>
      <c r="E78" s="9">
        <v>1150.61</v>
      </c>
      <c r="F78" t="str">
        <f>VLOOKUP(C78,'Plan contable'!$A$2:$C$16,3,FALSE)</f>
        <v>Aprovisionamientos</v>
      </c>
      <c r="G78">
        <f>MONTH(A78)</f>
        <v>3</v>
      </c>
      <c r="H78" t="str">
        <f>"T"&amp;ROUNDUP(G78/3,0)</f>
        <v>T1</v>
      </c>
    </row>
    <row r="79" spans="1:8">
      <c r="A79" s="10">
        <v>45729</v>
      </c>
      <c r="B79">
        <v>78</v>
      </c>
      <c r="C79">
        <v>621</v>
      </c>
      <c r="D79" t="s">
        <v>69</v>
      </c>
      <c r="E79" s="9">
        <v>1800</v>
      </c>
      <c r="F79" t="str">
        <f>VLOOKUP(C79,'Plan contable'!$A$2:$C$16,3,FALSE)</f>
        <v>Otros gastos de explotación</v>
      </c>
      <c r="G79">
        <f>MONTH(A79)</f>
        <v>3</v>
      </c>
      <c r="H79" t="str">
        <f>"T"&amp;ROUNDUP(G79/3,0)</f>
        <v>T1</v>
      </c>
    </row>
    <row r="80" spans="1:8">
      <c r="A80" s="10">
        <v>45731</v>
      </c>
      <c r="B80">
        <v>79</v>
      </c>
      <c r="C80">
        <v>623</v>
      </c>
      <c r="D80" t="s">
        <v>70</v>
      </c>
      <c r="E80" s="9">
        <v>338.85</v>
      </c>
      <c r="F80" t="str">
        <f>VLOOKUP(C80,'Plan contable'!$A$2:$C$16,3,FALSE)</f>
        <v>Otros gastos de explotación</v>
      </c>
      <c r="G80">
        <f>MONTH(A80)</f>
        <v>3</v>
      </c>
      <c r="H80" t="str">
        <f>"T"&amp;ROUNDUP(G80/3,0)</f>
        <v>T1</v>
      </c>
    </row>
    <row r="81" spans="1:8">
      <c r="A81" s="10">
        <v>45732</v>
      </c>
      <c r="B81">
        <v>80</v>
      </c>
      <c r="C81">
        <v>600</v>
      </c>
      <c r="D81" t="s">
        <v>68</v>
      </c>
      <c r="E81" s="9">
        <v>1589.51</v>
      </c>
      <c r="F81" t="str">
        <f>VLOOKUP(C81,'Plan contable'!$A$2:$C$16,3,FALSE)</f>
        <v>Aprovisionamientos</v>
      </c>
      <c r="G81">
        <f>MONTH(A81)</f>
        <v>3</v>
      </c>
      <c r="H81" t="str">
        <f>"T"&amp;ROUNDUP(G81/3,0)</f>
        <v>T1</v>
      </c>
    </row>
    <row r="82" spans="1:8">
      <c r="A82" s="10">
        <v>45732</v>
      </c>
      <c r="B82">
        <v>81</v>
      </c>
      <c r="C82">
        <v>705</v>
      </c>
      <c r="D82" t="s">
        <v>66</v>
      </c>
      <c r="E82" s="9">
        <v>1626.06</v>
      </c>
      <c r="F82" t="str">
        <f>VLOOKUP(C82,'Plan contable'!$A$2:$C$16,3,FALSE)</f>
        <v>Importe neto de la cifra de negocios</v>
      </c>
      <c r="G82">
        <f>MONTH(A82)</f>
        <v>3</v>
      </c>
      <c r="H82" t="str">
        <f>"T"&amp;ROUNDUP(G82/3,0)</f>
        <v>T1</v>
      </c>
    </row>
    <row r="83" spans="1:8">
      <c r="A83" s="10">
        <v>45733</v>
      </c>
      <c r="B83">
        <v>82</v>
      </c>
      <c r="C83">
        <v>600</v>
      </c>
      <c r="D83" t="s">
        <v>68</v>
      </c>
      <c r="E83" s="9">
        <v>1934.64</v>
      </c>
      <c r="F83" t="str">
        <f>VLOOKUP(C83,'Plan contable'!$A$2:$C$16,3,FALSE)</f>
        <v>Aprovisionamientos</v>
      </c>
      <c r="G83">
        <f>MONTH(A83)</f>
        <v>3</v>
      </c>
      <c r="H83" t="str">
        <f>"T"&amp;ROUNDUP(G83/3,0)</f>
        <v>T1</v>
      </c>
    </row>
    <row r="84" spans="1:8">
      <c r="A84" s="10">
        <v>45733</v>
      </c>
      <c r="B84">
        <v>83</v>
      </c>
      <c r="C84">
        <v>700</v>
      </c>
      <c r="D84" t="s">
        <v>65</v>
      </c>
      <c r="E84" s="9">
        <v>2492.37</v>
      </c>
      <c r="F84" t="str">
        <f>VLOOKUP(C84,'Plan contable'!$A$2:$C$16,3,FALSE)</f>
        <v>Importe neto de la cifra de negocios</v>
      </c>
      <c r="G84">
        <f>MONTH(A84)</f>
        <v>3</v>
      </c>
      <c r="H84" t="str">
        <f>"T"&amp;ROUNDUP(G84/3,0)</f>
        <v>T1</v>
      </c>
    </row>
    <row r="85" spans="1:8">
      <c r="A85" s="10">
        <v>45735</v>
      </c>
      <c r="B85">
        <v>84</v>
      </c>
      <c r="C85">
        <v>628</v>
      </c>
      <c r="D85" t="s">
        <v>71</v>
      </c>
      <c r="E85" s="9">
        <v>196.29</v>
      </c>
      <c r="F85" t="str">
        <f>VLOOKUP(C85,'Plan contable'!$A$2:$C$16,3,FALSE)</f>
        <v>Otros gastos de explotación</v>
      </c>
      <c r="G85">
        <f>MONTH(A85)</f>
        <v>3</v>
      </c>
      <c r="H85" t="str">
        <f>"T"&amp;ROUNDUP(G85/3,0)</f>
        <v>T1</v>
      </c>
    </row>
    <row r="86" spans="1:8">
      <c r="A86" s="10">
        <v>45736</v>
      </c>
      <c r="B86">
        <v>85</v>
      </c>
      <c r="C86">
        <v>629</v>
      </c>
      <c r="D86" t="s">
        <v>60</v>
      </c>
      <c r="E86" s="9">
        <v>70.40000000000001</v>
      </c>
      <c r="F86" t="str">
        <f>VLOOKUP(C86,'Plan contable'!$A$2:$C$16,3,FALSE)</f>
        <v>Otros gastos de explotación</v>
      </c>
      <c r="G86">
        <f>MONTH(A86)</f>
        <v>3</v>
      </c>
      <c r="H86" t="str">
        <f>"T"&amp;ROUNDUP(G86/3,0)</f>
        <v>T1</v>
      </c>
    </row>
    <row r="87" spans="1:8">
      <c r="A87" s="10">
        <v>45736</v>
      </c>
      <c r="B87">
        <v>86</v>
      </c>
      <c r="C87">
        <v>700</v>
      </c>
      <c r="D87" t="s">
        <v>65</v>
      </c>
      <c r="E87" s="9">
        <v>2730.8</v>
      </c>
      <c r="F87" t="str">
        <f>VLOOKUP(C87,'Plan contable'!$A$2:$C$16,3,FALSE)</f>
        <v>Importe neto de la cifra de negocios</v>
      </c>
      <c r="G87">
        <f>MONTH(A87)</f>
        <v>3</v>
      </c>
      <c r="H87" t="str">
        <f>"T"&amp;ROUNDUP(G87/3,0)</f>
        <v>T1</v>
      </c>
    </row>
    <row r="88" spans="1:8">
      <c r="A88" s="10">
        <v>45737</v>
      </c>
      <c r="B88">
        <v>87</v>
      </c>
      <c r="C88">
        <v>628</v>
      </c>
      <c r="D88" t="s">
        <v>71</v>
      </c>
      <c r="E88" s="9">
        <v>233.33</v>
      </c>
      <c r="F88" t="str">
        <f>VLOOKUP(C88,'Plan contable'!$A$2:$C$16,3,FALSE)</f>
        <v>Otros gastos de explotación</v>
      </c>
      <c r="G88">
        <f>MONTH(A88)</f>
        <v>3</v>
      </c>
      <c r="H88" t="str">
        <f>"T"&amp;ROUNDUP(G88/3,0)</f>
        <v>T1</v>
      </c>
    </row>
    <row r="89" spans="1:8">
      <c r="A89" s="10">
        <v>45739</v>
      </c>
      <c r="B89">
        <v>88</v>
      </c>
      <c r="C89">
        <v>622</v>
      </c>
      <c r="D89" t="s">
        <v>72</v>
      </c>
      <c r="E89" s="9">
        <v>671.6900000000001</v>
      </c>
      <c r="F89" t="str">
        <f>VLOOKUP(C89,'Plan contable'!$A$2:$C$16,3,FALSE)</f>
        <v>Otros gastos de explotación</v>
      </c>
      <c r="G89">
        <f>MONTH(A89)</f>
        <v>3</v>
      </c>
      <c r="H89" t="str">
        <f>"T"&amp;ROUNDUP(G89/3,0)</f>
        <v>T1</v>
      </c>
    </row>
    <row r="90" spans="1:8">
      <c r="A90" s="10">
        <v>45740</v>
      </c>
      <c r="B90">
        <v>89</v>
      </c>
      <c r="C90">
        <v>600</v>
      </c>
      <c r="D90" t="s">
        <v>68</v>
      </c>
      <c r="E90" s="9">
        <v>2053.07</v>
      </c>
      <c r="F90" t="str">
        <f>VLOOKUP(C90,'Plan contable'!$A$2:$C$16,3,FALSE)</f>
        <v>Aprovisionamientos</v>
      </c>
      <c r="G90">
        <f>MONTH(A90)</f>
        <v>3</v>
      </c>
      <c r="H90" t="str">
        <f>"T"&amp;ROUNDUP(G90/3,0)</f>
        <v>T1</v>
      </c>
    </row>
    <row r="91" spans="1:8">
      <c r="A91" s="10">
        <v>45741</v>
      </c>
      <c r="B91">
        <v>90</v>
      </c>
      <c r="C91">
        <v>600</v>
      </c>
      <c r="D91" t="s">
        <v>68</v>
      </c>
      <c r="E91" s="9">
        <v>755.77</v>
      </c>
      <c r="F91" t="str">
        <f>VLOOKUP(C91,'Plan contable'!$A$2:$C$16,3,FALSE)</f>
        <v>Aprovisionamientos</v>
      </c>
      <c r="G91">
        <f>MONTH(A91)</f>
        <v>3</v>
      </c>
      <c r="H91" t="str">
        <f>"T"&amp;ROUNDUP(G91/3,0)</f>
        <v>T1</v>
      </c>
    </row>
    <row r="92" spans="1:8">
      <c r="A92" s="10">
        <v>45741</v>
      </c>
      <c r="B92">
        <v>91</v>
      </c>
      <c r="C92">
        <v>642</v>
      </c>
      <c r="D92" t="s">
        <v>73</v>
      </c>
      <c r="E92" s="9">
        <v>4650</v>
      </c>
      <c r="F92" t="str">
        <f>VLOOKUP(C92,'Plan contable'!$A$2:$C$16,3,FALSE)</f>
        <v>Gastos de personal</v>
      </c>
      <c r="G92">
        <f>MONTH(A92)</f>
        <v>3</v>
      </c>
      <c r="H92" t="str">
        <f>"T"&amp;ROUNDUP(G92/3,0)</f>
        <v>T1</v>
      </c>
    </row>
    <row r="93" spans="1:8">
      <c r="A93" s="10">
        <v>45743</v>
      </c>
      <c r="B93">
        <v>92</v>
      </c>
      <c r="C93">
        <v>607</v>
      </c>
      <c r="D93" t="s">
        <v>62</v>
      </c>
      <c r="E93" s="9">
        <v>1091.39</v>
      </c>
      <c r="F93" t="str">
        <f>VLOOKUP(C93,'Plan contable'!$A$2:$C$16,3,FALSE)</f>
        <v>Aprovisionamientos</v>
      </c>
      <c r="G93">
        <f>MONTH(A93)</f>
        <v>3</v>
      </c>
      <c r="H93" t="str">
        <f>"T"&amp;ROUNDUP(G93/3,0)</f>
        <v>T1</v>
      </c>
    </row>
    <row r="94" spans="1:8">
      <c r="A94" s="10">
        <v>45744</v>
      </c>
      <c r="B94">
        <v>93</v>
      </c>
      <c r="C94">
        <v>681</v>
      </c>
      <c r="D94" t="s">
        <v>74</v>
      </c>
      <c r="E94" s="9">
        <v>1250</v>
      </c>
      <c r="F94" t="str">
        <f>VLOOKUP(C94,'Plan contable'!$A$2:$C$16,3,FALSE)</f>
        <v>Amortización del inmovilizado</v>
      </c>
      <c r="G94">
        <f>MONTH(A94)</f>
        <v>3</v>
      </c>
      <c r="H94" t="str">
        <f>"T"&amp;ROUNDUP(G94/3,0)</f>
        <v>T1</v>
      </c>
    </row>
    <row r="95" spans="1:8">
      <c r="A95" s="10">
        <v>45748</v>
      </c>
      <c r="B95">
        <v>94</v>
      </c>
      <c r="C95">
        <v>662</v>
      </c>
      <c r="D95" t="s">
        <v>75</v>
      </c>
      <c r="E95" s="9">
        <v>338.35</v>
      </c>
      <c r="F95" t="str">
        <f>VLOOKUP(C95,'Plan contable'!$A$2:$C$16,3,FALSE)</f>
        <v>Gastos financieros</v>
      </c>
      <c r="G95">
        <f>MONTH(A95)</f>
        <v>4</v>
      </c>
      <c r="H95" t="str">
        <f>"T"&amp;ROUNDUP(G95/3,0)</f>
        <v>T2</v>
      </c>
    </row>
    <row r="96" spans="1:8">
      <c r="A96" s="10">
        <v>45749</v>
      </c>
      <c r="B96">
        <v>95</v>
      </c>
      <c r="C96">
        <v>628</v>
      </c>
      <c r="D96" t="s">
        <v>76</v>
      </c>
      <c r="E96" s="9">
        <v>279.07</v>
      </c>
      <c r="F96" t="str">
        <f>VLOOKUP(C96,'Plan contable'!$A$2:$C$16,3,FALSE)</f>
        <v>Otros gastos de explotación</v>
      </c>
      <c r="G96">
        <f>MONTH(A96)</f>
        <v>4</v>
      </c>
      <c r="H96" t="str">
        <f>"T"&amp;ROUNDUP(G96/3,0)</f>
        <v>T2</v>
      </c>
    </row>
    <row r="97" spans="1:8">
      <c r="A97" s="10">
        <v>45750</v>
      </c>
      <c r="B97">
        <v>96</v>
      </c>
      <c r="C97">
        <v>625</v>
      </c>
      <c r="D97" t="s">
        <v>77</v>
      </c>
      <c r="E97" s="9">
        <v>180</v>
      </c>
      <c r="F97" t="str">
        <f>VLOOKUP(C97,'Plan contable'!$A$2:$C$16,3,FALSE)</f>
        <v>Otros gastos de explotación</v>
      </c>
      <c r="G97">
        <f>MONTH(A97)</f>
        <v>4</v>
      </c>
      <c r="H97" t="str">
        <f>"T"&amp;ROUNDUP(G97/3,0)</f>
        <v>T2</v>
      </c>
    </row>
    <row r="98" spans="1:8">
      <c r="A98" s="10">
        <v>45754</v>
      </c>
      <c r="B98">
        <v>97</v>
      </c>
      <c r="C98">
        <v>600</v>
      </c>
      <c r="D98" t="s">
        <v>78</v>
      </c>
      <c r="E98" s="9">
        <v>1014.8</v>
      </c>
      <c r="F98" t="str">
        <f>VLOOKUP(C98,'Plan contable'!$A$2:$C$16,3,FALSE)</f>
        <v>Aprovisionamientos</v>
      </c>
      <c r="G98">
        <f>MONTH(A98)</f>
        <v>4</v>
      </c>
      <c r="H98" t="str">
        <f>"T"&amp;ROUNDUP(G98/3,0)</f>
        <v>T2</v>
      </c>
    </row>
    <row r="99" spans="1:8">
      <c r="A99" s="10">
        <v>45754</v>
      </c>
      <c r="B99">
        <v>98</v>
      </c>
      <c r="C99">
        <v>623</v>
      </c>
      <c r="D99" t="s">
        <v>79</v>
      </c>
      <c r="E99" s="9">
        <v>497.44</v>
      </c>
      <c r="F99" t="str">
        <f>VLOOKUP(C99,'Plan contable'!$A$2:$C$16,3,FALSE)</f>
        <v>Otros gastos de explotación</v>
      </c>
      <c r="G99">
        <f>MONTH(A99)</f>
        <v>4</v>
      </c>
      <c r="H99" t="str">
        <f>"T"&amp;ROUNDUP(G99/3,0)</f>
        <v>T2</v>
      </c>
    </row>
    <row r="100" spans="1:8">
      <c r="A100" s="10">
        <v>45755</v>
      </c>
      <c r="B100">
        <v>99</v>
      </c>
      <c r="C100">
        <v>700</v>
      </c>
      <c r="D100" t="s">
        <v>80</v>
      </c>
      <c r="E100" s="9">
        <v>2755.31</v>
      </c>
      <c r="F100" t="str">
        <f>VLOOKUP(C100,'Plan contable'!$A$2:$C$16,3,FALSE)</f>
        <v>Importe neto de la cifra de negocios</v>
      </c>
      <c r="G100">
        <f>MONTH(A100)</f>
        <v>4</v>
      </c>
      <c r="H100" t="str">
        <f>"T"&amp;ROUNDUP(G100/3,0)</f>
        <v>T2</v>
      </c>
    </row>
    <row r="101" spans="1:8">
      <c r="A101" s="10">
        <v>45758</v>
      </c>
      <c r="B101">
        <v>100</v>
      </c>
      <c r="C101">
        <v>681</v>
      </c>
      <c r="D101" t="s">
        <v>81</v>
      </c>
      <c r="E101" s="9">
        <v>1250</v>
      </c>
      <c r="F101" t="str">
        <f>VLOOKUP(C101,'Plan contable'!$A$2:$C$16,3,FALSE)</f>
        <v>Amortización del inmovilizado</v>
      </c>
      <c r="G101">
        <f>MONTH(A101)</f>
        <v>4</v>
      </c>
      <c r="H101" t="str">
        <f>"T"&amp;ROUNDUP(G101/3,0)</f>
        <v>T2</v>
      </c>
    </row>
    <row r="102" spans="1:8">
      <c r="A102" s="10">
        <v>45758</v>
      </c>
      <c r="B102">
        <v>101</v>
      </c>
      <c r="C102">
        <v>700</v>
      </c>
      <c r="D102" t="s">
        <v>80</v>
      </c>
      <c r="E102" s="9">
        <v>2233.91</v>
      </c>
      <c r="F102" t="str">
        <f>VLOOKUP(C102,'Plan contable'!$A$2:$C$16,3,FALSE)</f>
        <v>Importe neto de la cifra de negocios</v>
      </c>
      <c r="G102">
        <f>MONTH(A102)</f>
        <v>4</v>
      </c>
      <c r="H102" t="str">
        <f>"T"&amp;ROUNDUP(G102/3,0)</f>
        <v>T2</v>
      </c>
    </row>
    <row r="103" spans="1:8">
      <c r="A103" s="10">
        <v>45759</v>
      </c>
      <c r="B103">
        <v>102</v>
      </c>
      <c r="C103">
        <v>600</v>
      </c>
      <c r="D103" t="s">
        <v>78</v>
      </c>
      <c r="E103" s="9">
        <v>1046.17</v>
      </c>
      <c r="F103" t="str">
        <f>VLOOKUP(C103,'Plan contable'!$A$2:$C$16,3,FALSE)</f>
        <v>Aprovisionamientos</v>
      </c>
      <c r="G103">
        <f>MONTH(A103)</f>
        <v>4</v>
      </c>
      <c r="H103" t="str">
        <f>"T"&amp;ROUNDUP(G103/3,0)</f>
        <v>T2</v>
      </c>
    </row>
    <row r="104" spans="1:8">
      <c r="A104" s="10">
        <v>45760</v>
      </c>
      <c r="B104">
        <v>103</v>
      </c>
      <c r="C104">
        <v>627</v>
      </c>
      <c r="D104" t="s">
        <v>82</v>
      </c>
      <c r="E104" s="9">
        <v>472.09</v>
      </c>
      <c r="F104" t="str">
        <f>VLOOKUP(C104,'Plan contable'!$A$2:$C$16,3,FALSE)</f>
        <v>Otros gastos de explotación</v>
      </c>
      <c r="G104">
        <f>MONTH(A104)</f>
        <v>4</v>
      </c>
      <c r="H104" t="str">
        <f>"T"&amp;ROUNDUP(G104/3,0)</f>
        <v>T2</v>
      </c>
    </row>
    <row r="105" spans="1:8">
      <c r="A105" s="10">
        <v>45760</v>
      </c>
      <c r="B105">
        <v>104</v>
      </c>
      <c r="C105">
        <v>642</v>
      </c>
      <c r="D105" t="s">
        <v>83</v>
      </c>
      <c r="E105" s="9">
        <v>4650</v>
      </c>
      <c r="F105" t="str">
        <f>VLOOKUP(C105,'Plan contable'!$A$2:$C$16,3,FALSE)</f>
        <v>Gastos de personal</v>
      </c>
      <c r="G105">
        <f>MONTH(A105)</f>
        <v>4</v>
      </c>
      <c r="H105" t="str">
        <f>"T"&amp;ROUNDUP(G105/3,0)</f>
        <v>T2</v>
      </c>
    </row>
    <row r="106" spans="1:8">
      <c r="A106" s="10">
        <v>45761</v>
      </c>
      <c r="B106">
        <v>105</v>
      </c>
      <c r="C106">
        <v>700</v>
      </c>
      <c r="D106" t="s">
        <v>80</v>
      </c>
      <c r="E106" s="9">
        <v>1896.23</v>
      </c>
      <c r="F106" t="str">
        <f>VLOOKUP(C106,'Plan contable'!$A$2:$C$16,3,FALSE)</f>
        <v>Importe neto de la cifra de negocios</v>
      </c>
      <c r="G106">
        <f>MONTH(A106)</f>
        <v>4</v>
      </c>
      <c r="H106" t="str">
        <f>"T"&amp;ROUNDUP(G106/3,0)</f>
        <v>T2</v>
      </c>
    </row>
    <row r="107" spans="1:8">
      <c r="A107" s="10">
        <v>45762</v>
      </c>
      <c r="B107">
        <v>106</v>
      </c>
      <c r="C107">
        <v>700</v>
      </c>
      <c r="D107" t="s">
        <v>80</v>
      </c>
      <c r="E107" s="9">
        <v>3898.07</v>
      </c>
      <c r="F107" t="str">
        <f>VLOOKUP(C107,'Plan contable'!$A$2:$C$16,3,FALSE)</f>
        <v>Importe neto de la cifra de negocios</v>
      </c>
      <c r="G107">
        <f>MONTH(A107)</f>
        <v>4</v>
      </c>
      <c r="H107" t="str">
        <f>"T"&amp;ROUNDUP(G107/3,0)</f>
        <v>T2</v>
      </c>
    </row>
    <row r="108" spans="1:8">
      <c r="A108" s="10">
        <v>45763</v>
      </c>
      <c r="B108">
        <v>107</v>
      </c>
      <c r="C108">
        <v>607</v>
      </c>
      <c r="D108" t="s">
        <v>84</v>
      </c>
      <c r="E108" s="9">
        <v>931.5</v>
      </c>
      <c r="F108" t="str">
        <f>VLOOKUP(C108,'Plan contable'!$A$2:$C$16,3,FALSE)</f>
        <v>Aprovisionamientos</v>
      </c>
      <c r="G108">
        <f>MONTH(A108)</f>
        <v>4</v>
      </c>
      <c r="H108" t="str">
        <f>"T"&amp;ROUNDUP(G108/3,0)</f>
        <v>T2</v>
      </c>
    </row>
    <row r="109" spans="1:8">
      <c r="A109" s="10">
        <v>45764</v>
      </c>
      <c r="B109">
        <v>108</v>
      </c>
      <c r="C109">
        <v>600</v>
      </c>
      <c r="D109" t="s">
        <v>78</v>
      </c>
      <c r="E109" s="9">
        <v>854.6</v>
      </c>
      <c r="F109" t="str">
        <f>VLOOKUP(C109,'Plan contable'!$A$2:$C$16,3,FALSE)</f>
        <v>Aprovisionamientos</v>
      </c>
      <c r="G109">
        <f>MONTH(A109)</f>
        <v>4</v>
      </c>
      <c r="H109" t="str">
        <f>"T"&amp;ROUNDUP(G109/3,0)</f>
        <v>T2</v>
      </c>
    </row>
    <row r="110" spans="1:8">
      <c r="A110" s="10">
        <v>45765</v>
      </c>
      <c r="B110">
        <v>109</v>
      </c>
      <c r="C110">
        <v>629</v>
      </c>
      <c r="D110" t="s">
        <v>85</v>
      </c>
      <c r="E110" s="9">
        <v>85.16</v>
      </c>
      <c r="F110" t="str">
        <f>VLOOKUP(C110,'Plan contable'!$A$2:$C$16,3,FALSE)</f>
        <v>Otros gastos de explotación</v>
      </c>
      <c r="G110">
        <f>MONTH(A110)</f>
        <v>4</v>
      </c>
      <c r="H110" t="str">
        <f>"T"&amp;ROUNDUP(G110/3,0)</f>
        <v>T2</v>
      </c>
    </row>
    <row r="111" spans="1:8">
      <c r="A111" s="10">
        <v>45765</v>
      </c>
      <c r="B111">
        <v>110</v>
      </c>
      <c r="C111">
        <v>640</v>
      </c>
      <c r="D111" t="s">
        <v>86</v>
      </c>
      <c r="E111" s="9">
        <v>14500</v>
      </c>
      <c r="F111" t="str">
        <f>VLOOKUP(C111,'Plan contable'!$A$2:$C$16,3,FALSE)</f>
        <v>Gastos de personal</v>
      </c>
      <c r="G111">
        <f>MONTH(A111)</f>
        <v>4</v>
      </c>
      <c r="H111" t="str">
        <f>"T"&amp;ROUNDUP(G111/3,0)</f>
        <v>T2</v>
      </c>
    </row>
    <row r="112" spans="1:8">
      <c r="A112" s="10">
        <v>45767</v>
      </c>
      <c r="B112">
        <v>111</v>
      </c>
      <c r="C112">
        <v>629</v>
      </c>
      <c r="D112" t="s">
        <v>85</v>
      </c>
      <c r="E112" s="9">
        <v>20.11</v>
      </c>
      <c r="F112" t="str">
        <f>VLOOKUP(C112,'Plan contable'!$A$2:$C$16,3,FALSE)</f>
        <v>Otros gastos de explotación</v>
      </c>
      <c r="G112">
        <f>MONTH(A112)</f>
        <v>4</v>
      </c>
      <c r="H112" t="str">
        <f>"T"&amp;ROUNDUP(G112/3,0)</f>
        <v>T2</v>
      </c>
    </row>
    <row r="113" spans="1:8">
      <c r="A113" s="10">
        <v>45767</v>
      </c>
      <c r="B113">
        <v>112</v>
      </c>
      <c r="C113">
        <v>705</v>
      </c>
      <c r="D113" t="s">
        <v>87</v>
      </c>
      <c r="E113" s="9">
        <v>1216.82</v>
      </c>
      <c r="F113" t="str">
        <f>VLOOKUP(C113,'Plan contable'!$A$2:$C$16,3,FALSE)</f>
        <v>Importe neto de la cifra de negocios</v>
      </c>
      <c r="G113">
        <f>MONTH(A113)</f>
        <v>4</v>
      </c>
      <c r="H113" t="str">
        <f>"T"&amp;ROUNDUP(G113/3,0)</f>
        <v>T2</v>
      </c>
    </row>
    <row r="114" spans="1:8">
      <c r="A114" s="10">
        <v>45768</v>
      </c>
      <c r="B114">
        <v>113</v>
      </c>
      <c r="C114">
        <v>700</v>
      </c>
      <c r="D114" t="s">
        <v>80</v>
      </c>
      <c r="E114" s="9">
        <v>3799.43</v>
      </c>
      <c r="F114" t="str">
        <f>VLOOKUP(C114,'Plan contable'!$A$2:$C$16,3,FALSE)</f>
        <v>Importe neto de la cifra de negocios</v>
      </c>
      <c r="G114">
        <f>MONTH(A114)</f>
        <v>4</v>
      </c>
      <c r="H114" t="str">
        <f>"T"&amp;ROUNDUP(G114/3,0)</f>
        <v>T2</v>
      </c>
    </row>
    <row r="115" spans="1:8">
      <c r="A115" s="10">
        <v>45768</v>
      </c>
      <c r="B115">
        <v>114</v>
      </c>
      <c r="C115">
        <v>705</v>
      </c>
      <c r="D115" t="s">
        <v>87</v>
      </c>
      <c r="E115" s="9">
        <v>639.38</v>
      </c>
      <c r="F115" t="str">
        <f>VLOOKUP(C115,'Plan contable'!$A$2:$C$16,3,FALSE)</f>
        <v>Importe neto de la cifra de negocios</v>
      </c>
      <c r="G115">
        <f>MONTH(A115)</f>
        <v>4</v>
      </c>
      <c r="H115" t="str">
        <f>"T"&amp;ROUNDUP(G115/3,0)</f>
        <v>T2</v>
      </c>
    </row>
    <row r="116" spans="1:8">
      <c r="A116" s="10">
        <v>45769</v>
      </c>
      <c r="B116">
        <v>115</v>
      </c>
      <c r="C116">
        <v>622</v>
      </c>
      <c r="D116" t="s">
        <v>88</v>
      </c>
      <c r="E116" s="9">
        <v>621.17</v>
      </c>
      <c r="F116" t="str">
        <f>VLOOKUP(C116,'Plan contable'!$A$2:$C$16,3,FALSE)</f>
        <v>Otros gastos de explotación</v>
      </c>
      <c r="G116">
        <f>MONTH(A116)</f>
        <v>4</v>
      </c>
      <c r="H116" t="str">
        <f>"T"&amp;ROUNDUP(G116/3,0)</f>
        <v>T2</v>
      </c>
    </row>
    <row r="117" spans="1:8">
      <c r="A117" s="10">
        <v>45770</v>
      </c>
      <c r="B117">
        <v>116</v>
      </c>
      <c r="C117">
        <v>705</v>
      </c>
      <c r="D117" t="s">
        <v>87</v>
      </c>
      <c r="E117" s="9">
        <v>993.85</v>
      </c>
      <c r="F117" t="str">
        <f>VLOOKUP(C117,'Plan contable'!$A$2:$C$16,3,FALSE)</f>
        <v>Importe neto de la cifra de negocios</v>
      </c>
      <c r="G117">
        <f>MONTH(A117)</f>
        <v>4</v>
      </c>
      <c r="H117" t="str">
        <f>"T"&amp;ROUNDUP(G117/3,0)</f>
        <v>T2</v>
      </c>
    </row>
    <row r="118" spans="1:8">
      <c r="A118" s="10">
        <v>45772</v>
      </c>
      <c r="B118">
        <v>117</v>
      </c>
      <c r="C118">
        <v>621</v>
      </c>
      <c r="D118" t="s">
        <v>89</v>
      </c>
      <c r="E118" s="9">
        <v>1800</v>
      </c>
      <c r="F118" t="str">
        <f>VLOOKUP(C118,'Plan contable'!$A$2:$C$16,3,FALSE)</f>
        <v>Otros gastos de explotación</v>
      </c>
      <c r="G118">
        <f>MONTH(A118)</f>
        <v>4</v>
      </c>
      <c r="H118" t="str">
        <f>"T"&amp;ROUNDUP(G118/3,0)</f>
        <v>T2</v>
      </c>
    </row>
    <row r="119" spans="1:8">
      <c r="A119" s="10">
        <v>45772</v>
      </c>
      <c r="B119">
        <v>118</v>
      </c>
      <c r="C119">
        <v>700</v>
      </c>
      <c r="D119" t="s">
        <v>80</v>
      </c>
      <c r="E119" s="9">
        <v>1511.53</v>
      </c>
      <c r="F119" t="str">
        <f>VLOOKUP(C119,'Plan contable'!$A$2:$C$16,3,FALSE)</f>
        <v>Importe neto de la cifra de negocios</v>
      </c>
      <c r="G119">
        <f>MONTH(A119)</f>
        <v>4</v>
      </c>
      <c r="H119" t="str">
        <f>"T"&amp;ROUNDUP(G119/3,0)</f>
        <v>T2</v>
      </c>
    </row>
    <row r="120" spans="1:8">
      <c r="A120" s="10">
        <v>45774</v>
      </c>
      <c r="B120">
        <v>119</v>
      </c>
      <c r="C120">
        <v>600</v>
      </c>
      <c r="D120" t="s">
        <v>78</v>
      </c>
      <c r="E120" s="9">
        <v>1870.52</v>
      </c>
      <c r="F120" t="str">
        <f>VLOOKUP(C120,'Plan contable'!$A$2:$C$16,3,FALSE)</f>
        <v>Aprovisionamientos</v>
      </c>
      <c r="G120">
        <f>MONTH(A120)</f>
        <v>4</v>
      </c>
      <c r="H120" t="str">
        <f>"T"&amp;ROUNDUP(G120/3,0)</f>
        <v>T2</v>
      </c>
    </row>
    <row r="121" spans="1:8">
      <c r="A121" s="10">
        <v>45774</v>
      </c>
      <c r="B121">
        <v>120</v>
      </c>
      <c r="C121">
        <v>607</v>
      </c>
      <c r="D121" t="s">
        <v>84</v>
      </c>
      <c r="E121" s="9">
        <v>342.58</v>
      </c>
      <c r="F121" t="str">
        <f>VLOOKUP(C121,'Plan contable'!$A$2:$C$16,3,FALSE)</f>
        <v>Aprovisionamientos</v>
      </c>
      <c r="G121">
        <f>MONTH(A121)</f>
        <v>4</v>
      </c>
      <c r="H121" t="str">
        <f>"T"&amp;ROUNDUP(G121/3,0)</f>
        <v>T2</v>
      </c>
    </row>
    <row r="122" spans="1:8">
      <c r="A122" s="10">
        <v>45774</v>
      </c>
      <c r="B122">
        <v>121</v>
      </c>
      <c r="C122">
        <v>705</v>
      </c>
      <c r="D122" t="s">
        <v>87</v>
      </c>
      <c r="E122" s="9">
        <v>1395.94</v>
      </c>
      <c r="F122" t="str">
        <f>VLOOKUP(C122,'Plan contable'!$A$2:$C$16,3,FALSE)</f>
        <v>Importe neto de la cifra de negocios</v>
      </c>
      <c r="G122">
        <f>MONTH(A122)</f>
        <v>4</v>
      </c>
      <c r="H122" t="str">
        <f>"T"&amp;ROUNDUP(G122/3,0)</f>
        <v>T2</v>
      </c>
    </row>
    <row r="123" spans="1:8">
      <c r="A123" s="10">
        <v>45775</v>
      </c>
      <c r="B123">
        <v>122</v>
      </c>
      <c r="C123">
        <v>600</v>
      </c>
      <c r="D123" t="s">
        <v>78</v>
      </c>
      <c r="E123" s="9">
        <v>1420.53</v>
      </c>
      <c r="F123" t="str">
        <f>VLOOKUP(C123,'Plan contable'!$A$2:$C$16,3,FALSE)</f>
        <v>Aprovisionamientos</v>
      </c>
      <c r="G123">
        <f>MONTH(A123)</f>
        <v>4</v>
      </c>
      <c r="H123" t="str">
        <f>"T"&amp;ROUNDUP(G123/3,0)</f>
        <v>T2</v>
      </c>
    </row>
    <row r="124" spans="1:8">
      <c r="A124" s="10">
        <v>45775</v>
      </c>
      <c r="B124">
        <v>123</v>
      </c>
      <c r="C124">
        <v>628</v>
      </c>
      <c r="D124" t="s">
        <v>76</v>
      </c>
      <c r="E124" s="9">
        <v>195.16</v>
      </c>
      <c r="F124" t="str">
        <f>VLOOKUP(C124,'Plan contable'!$A$2:$C$16,3,FALSE)</f>
        <v>Otros gastos de explotación</v>
      </c>
      <c r="G124">
        <f>MONTH(A124)</f>
        <v>4</v>
      </c>
      <c r="H124" t="str">
        <f>"T"&amp;ROUNDUP(G124/3,0)</f>
        <v>T2</v>
      </c>
    </row>
    <row r="125" spans="1:8">
      <c r="A125" s="10">
        <v>45775</v>
      </c>
      <c r="B125">
        <v>124</v>
      </c>
      <c r="C125">
        <v>705</v>
      </c>
      <c r="D125" t="s">
        <v>87</v>
      </c>
      <c r="E125" s="9">
        <v>1543.41</v>
      </c>
      <c r="F125" t="str">
        <f>VLOOKUP(C125,'Plan contable'!$A$2:$C$16,3,FALSE)</f>
        <v>Importe neto de la cifra de negocios</v>
      </c>
      <c r="G125">
        <f>MONTH(A125)</f>
        <v>4</v>
      </c>
      <c r="H125" t="str">
        <f>"T"&amp;ROUNDUP(G125/3,0)</f>
        <v>T2</v>
      </c>
    </row>
    <row r="126" spans="1:8">
      <c r="A126" s="10">
        <v>45780</v>
      </c>
      <c r="B126">
        <v>125</v>
      </c>
      <c r="C126">
        <v>629</v>
      </c>
      <c r="D126" t="s">
        <v>90</v>
      </c>
      <c r="E126" s="9">
        <v>43.07</v>
      </c>
      <c r="F126" t="str">
        <f>VLOOKUP(C126,'Plan contable'!$A$2:$C$16,3,FALSE)</f>
        <v>Otros gastos de explotación</v>
      </c>
      <c r="G126">
        <f>MONTH(A126)</f>
        <v>5</v>
      </c>
      <c r="H126" t="str">
        <f>"T"&amp;ROUNDUP(G126/3,0)</f>
        <v>T2</v>
      </c>
    </row>
    <row r="127" spans="1:8">
      <c r="A127" s="10">
        <v>45780</v>
      </c>
      <c r="B127">
        <v>126</v>
      </c>
      <c r="C127">
        <v>700</v>
      </c>
      <c r="D127" t="s">
        <v>91</v>
      </c>
      <c r="E127" s="9">
        <v>1779.3</v>
      </c>
      <c r="F127" t="str">
        <f>VLOOKUP(C127,'Plan contable'!$A$2:$C$16,3,FALSE)</f>
        <v>Importe neto de la cifra de negocios</v>
      </c>
      <c r="G127">
        <f>MONTH(A127)</f>
        <v>5</v>
      </c>
      <c r="H127" t="str">
        <f>"T"&amp;ROUNDUP(G127/3,0)</f>
        <v>T2</v>
      </c>
    </row>
    <row r="128" spans="1:8">
      <c r="A128" s="10">
        <v>45780</v>
      </c>
      <c r="B128">
        <v>127</v>
      </c>
      <c r="C128">
        <v>700</v>
      </c>
      <c r="D128" t="s">
        <v>91</v>
      </c>
      <c r="E128" s="9">
        <v>4110.5</v>
      </c>
      <c r="F128" t="str">
        <f>VLOOKUP(C128,'Plan contable'!$A$2:$C$16,3,FALSE)</f>
        <v>Importe neto de la cifra de negocios</v>
      </c>
      <c r="G128">
        <f>MONTH(A128)</f>
        <v>5</v>
      </c>
      <c r="H128" t="str">
        <f>"T"&amp;ROUNDUP(G128/3,0)</f>
        <v>T2</v>
      </c>
    </row>
    <row r="129" spans="1:8">
      <c r="A129" s="10">
        <v>45781</v>
      </c>
      <c r="B129">
        <v>128</v>
      </c>
      <c r="C129">
        <v>600</v>
      </c>
      <c r="D129" t="s">
        <v>92</v>
      </c>
      <c r="E129" s="9">
        <v>2081.37</v>
      </c>
      <c r="F129" t="str">
        <f>VLOOKUP(C129,'Plan contable'!$A$2:$C$16,3,FALSE)</f>
        <v>Aprovisionamientos</v>
      </c>
      <c r="G129">
        <f>MONTH(A129)</f>
        <v>5</v>
      </c>
      <c r="H129" t="str">
        <f>"T"&amp;ROUNDUP(G129/3,0)</f>
        <v>T2</v>
      </c>
    </row>
    <row r="130" spans="1:8">
      <c r="A130" s="10">
        <v>45783</v>
      </c>
      <c r="B130">
        <v>129</v>
      </c>
      <c r="C130">
        <v>642</v>
      </c>
      <c r="D130" t="s">
        <v>93</v>
      </c>
      <c r="E130" s="9">
        <v>4650</v>
      </c>
      <c r="F130" t="str">
        <f>VLOOKUP(C130,'Plan contable'!$A$2:$C$16,3,FALSE)</f>
        <v>Gastos de personal</v>
      </c>
      <c r="G130">
        <f>MONTH(A130)</f>
        <v>5</v>
      </c>
      <c r="H130" t="str">
        <f>"T"&amp;ROUNDUP(G130/3,0)</f>
        <v>T2</v>
      </c>
    </row>
    <row r="131" spans="1:8">
      <c r="A131" s="10">
        <v>45785</v>
      </c>
      <c r="B131">
        <v>130</v>
      </c>
      <c r="C131">
        <v>600</v>
      </c>
      <c r="D131" t="s">
        <v>92</v>
      </c>
      <c r="E131" s="9">
        <v>1881.32</v>
      </c>
      <c r="F131" t="str">
        <f>VLOOKUP(C131,'Plan contable'!$A$2:$C$16,3,FALSE)</f>
        <v>Aprovisionamientos</v>
      </c>
      <c r="G131">
        <f>MONTH(A131)</f>
        <v>5</v>
      </c>
      <c r="H131" t="str">
        <f>"T"&amp;ROUNDUP(G131/3,0)</f>
        <v>T2</v>
      </c>
    </row>
    <row r="132" spans="1:8">
      <c r="A132" s="10">
        <v>45785</v>
      </c>
      <c r="B132">
        <v>131</v>
      </c>
      <c r="C132">
        <v>600</v>
      </c>
      <c r="D132" t="s">
        <v>92</v>
      </c>
      <c r="E132" s="9">
        <v>987.96</v>
      </c>
      <c r="F132" t="str">
        <f>VLOOKUP(C132,'Plan contable'!$A$2:$C$16,3,FALSE)</f>
        <v>Aprovisionamientos</v>
      </c>
      <c r="G132">
        <f>MONTH(A132)</f>
        <v>5</v>
      </c>
      <c r="H132" t="str">
        <f>"T"&amp;ROUNDUP(G132/3,0)</f>
        <v>T2</v>
      </c>
    </row>
    <row r="133" spans="1:8">
      <c r="A133" s="10">
        <v>45785</v>
      </c>
      <c r="B133">
        <v>132</v>
      </c>
      <c r="C133">
        <v>681</v>
      </c>
      <c r="D133" t="s">
        <v>94</v>
      </c>
      <c r="E133" s="9">
        <v>1250</v>
      </c>
      <c r="F133" t="str">
        <f>VLOOKUP(C133,'Plan contable'!$A$2:$C$16,3,FALSE)</f>
        <v>Amortización del inmovilizado</v>
      </c>
      <c r="G133">
        <f>MONTH(A133)</f>
        <v>5</v>
      </c>
      <c r="H133" t="str">
        <f>"T"&amp;ROUNDUP(G133/3,0)</f>
        <v>T2</v>
      </c>
    </row>
    <row r="134" spans="1:8">
      <c r="A134" s="10">
        <v>45786</v>
      </c>
      <c r="B134">
        <v>133</v>
      </c>
      <c r="C134">
        <v>700</v>
      </c>
      <c r="D134" t="s">
        <v>91</v>
      </c>
      <c r="E134" s="9">
        <v>2930.21</v>
      </c>
      <c r="F134" t="str">
        <f>VLOOKUP(C134,'Plan contable'!$A$2:$C$16,3,FALSE)</f>
        <v>Importe neto de la cifra de negocios</v>
      </c>
      <c r="G134">
        <f>MONTH(A134)</f>
        <v>5</v>
      </c>
      <c r="H134" t="str">
        <f>"T"&amp;ROUNDUP(G134/3,0)</f>
        <v>T2</v>
      </c>
    </row>
    <row r="135" spans="1:8">
      <c r="A135" s="10">
        <v>45787</v>
      </c>
      <c r="B135">
        <v>134</v>
      </c>
      <c r="C135">
        <v>607</v>
      </c>
      <c r="D135" t="s">
        <v>95</v>
      </c>
      <c r="E135" s="9">
        <v>1133.44</v>
      </c>
      <c r="F135" t="str">
        <f>VLOOKUP(C135,'Plan contable'!$A$2:$C$16,3,FALSE)</f>
        <v>Aprovisionamientos</v>
      </c>
      <c r="G135">
        <f>MONTH(A135)</f>
        <v>5</v>
      </c>
      <c r="H135" t="str">
        <f>"T"&amp;ROUNDUP(G135/3,0)</f>
        <v>T2</v>
      </c>
    </row>
    <row r="136" spans="1:8">
      <c r="A136" s="10">
        <v>45787</v>
      </c>
      <c r="B136">
        <v>135</v>
      </c>
      <c r="C136">
        <v>621</v>
      </c>
      <c r="D136" t="s">
        <v>96</v>
      </c>
      <c r="E136" s="9">
        <v>1800</v>
      </c>
      <c r="F136" t="str">
        <f>VLOOKUP(C136,'Plan contable'!$A$2:$C$16,3,FALSE)</f>
        <v>Otros gastos de explotación</v>
      </c>
      <c r="G136">
        <f>MONTH(A136)</f>
        <v>5</v>
      </c>
      <c r="H136" t="str">
        <f>"T"&amp;ROUNDUP(G136/3,0)</f>
        <v>T2</v>
      </c>
    </row>
    <row r="137" spans="1:8">
      <c r="A137" s="10">
        <v>45788</v>
      </c>
      <c r="B137">
        <v>136</v>
      </c>
      <c r="C137">
        <v>607</v>
      </c>
      <c r="D137" t="s">
        <v>95</v>
      </c>
      <c r="E137" s="9">
        <v>318.38</v>
      </c>
      <c r="F137" t="str">
        <f>VLOOKUP(C137,'Plan contable'!$A$2:$C$16,3,FALSE)</f>
        <v>Aprovisionamientos</v>
      </c>
      <c r="G137">
        <f>MONTH(A137)</f>
        <v>5</v>
      </c>
      <c r="H137" t="str">
        <f>"T"&amp;ROUNDUP(G137/3,0)</f>
        <v>T2</v>
      </c>
    </row>
    <row r="138" spans="1:8">
      <c r="A138" s="10">
        <v>45788</v>
      </c>
      <c r="B138">
        <v>137</v>
      </c>
      <c r="C138">
        <v>700</v>
      </c>
      <c r="D138" t="s">
        <v>91</v>
      </c>
      <c r="E138" s="9">
        <v>4076.36</v>
      </c>
      <c r="F138" t="str">
        <f>VLOOKUP(C138,'Plan contable'!$A$2:$C$16,3,FALSE)</f>
        <v>Importe neto de la cifra de negocios</v>
      </c>
      <c r="G138">
        <f>MONTH(A138)</f>
        <v>5</v>
      </c>
      <c r="H138" t="str">
        <f>"T"&amp;ROUNDUP(G138/3,0)</f>
        <v>T2</v>
      </c>
    </row>
    <row r="139" spans="1:8">
      <c r="A139" s="10">
        <v>45788</v>
      </c>
      <c r="B139">
        <v>138</v>
      </c>
      <c r="C139">
        <v>705</v>
      </c>
      <c r="D139" t="s">
        <v>97</v>
      </c>
      <c r="E139" s="9">
        <v>918.88</v>
      </c>
      <c r="F139" t="str">
        <f>VLOOKUP(C139,'Plan contable'!$A$2:$C$16,3,FALSE)</f>
        <v>Importe neto de la cifra de negocios</v>
      </c>
      <c r="G139">
        <f>MONTH(A139)</f>
        <v>5</v>
      </c>
      <c r="H139" t="str">
        <f>"T"&amp;ROUNDUP(G139/3,0)</f>
        <v>T2</v>
      </c>
    </row>
    <row r="140" spans="1:8">
      <c r="A140" s="10">
        <v>45789</v>
      </c>
      <c r="B140">
        <v>139</v>
      </c>
      <c r="C140">
        <v>622</v>
      </c>
      <c r="D140" t="s">
        <v>98</v>
      </c>
      <c r="E140" s="9">
        <v>203.21</v>
      </c>
      <c r="F140" t="str">
        <f>VLOOKUP(C140,'Plan contable'!$A$2:$C$16,3,FALSE)</f>
        <v>Otros gastos de explotación</v>
      </c>
      <c r="G140">
        <f>MONTH(A140)</f>
        <v>5</v>
      </c>
      <c r="H140" t="str">
        <f>"T"&amp;ROUNDUP(G140/3,0)</f>
        <v>T2</v>
      </c>
    </row>
    <row r="141" spans="1:8">
      <c r="A141" s="10">
        <v>45789</v>
      </c>
      <c r="B141">
        <v>140</v>
      </c>
      <c r="C141">
        <v>628</v>
      </c>
      <c r="D141" t="s">
        <v>99</v>
      </c>
      <c r="E141" s="9">
        <v>367.82</v>
      </c>
      <c r="F141" t="str">
        <f>VLOOKUP(C141,'Plan contable'!$A$2:$C$16,3,FALSE)</f>
        <v>Otros gastos de explotación</v>
      </c>
      <c r="G141">
        <f>MONTH(A141)</f>
        <v>5</v>
      </c>
      <c r="H141" t="str">
        <f>"T"&amp;ROUNDUP(G141/3,0)</f>
        <v>T2</v>
      </c>
    </row>
    <row r="142" spans="1:8">
      <c r="A142" s="10">
        <v>45790</v>
      </c>
      <c r="B142">
        <v>141</v>
      </c>
      <c r="C142">
        <v>623</v>
      </c>
      <c r="D142" t="s">
        <v>100</v>
      </c>
      <c r="E142" s="9">
        <v>357.37</v>
      </c>
      <c r="F142" t="str">
        <f>VLOOKUP(C142,'Plan contable'!$A$2:$C$16,3,FALSE)</f>
        <v>Otros gastos de explotación</v>
      </c>
      <c r="G142">
        <f>MONTH(A142)</f>
        <v>5</v>
      </c>
      <c r="H142" t="str">
        <f>"T"&amp;ROUNDUP(G142/3,0)</f>
        <v>T2</v>
      </c>
    </row>
    <row r="143" spans="1:8">
      <c r="A143" s="10">
        <v>45791</v>
      </c>
      <c r="B143">
        <v>142</v>
      </c>
      <c r="C143">
        <v>705</v>
      </c>
      <c r="D143" t="s">
        <v>97</v>
      </c>
      <c r="E143" s="9">
        <v>1247.51</v>
      </c>
      <c r="F143" t="str">
        <f>VLOOKUP(C143,'Plan contable'!$A$2:$C$16,3,FALSE)</f>
        <v>Importe neto de la cifra de negocios</v>
      </c>
      <c r="G143">
        <f>MONTH(A143)</f>
        <v>5</v>
      </c>
      <c r="H143" t="str">
        <f>"T"&amp;ROUNDUP(G143/3,0)</f>
        <v>T2</v>
      </c>
    </row>
    <row r="144" spans="1:8">
      <c r="A144" s="10">
        <v>45792</v>
      </c>
      <c r="B144">
        <v>143</v>
      </c>
      <c r="C144">
        <v>628</v>
      </c>
      <c r="D144" t="s">
        <v>99</v>
      </c>
      <c r="E144" s="9">
        <v>378.61</v>
      </c>
      <c r="F144" t="str">
        <f>VLOOKUP(C144,'Plan contable'!$A$2:$C$16,3,FALSE)</f>
        <v>Otros gastos de explotación</v>
      </c>
      <c r="G144">
        <f>MONTH(A144)</f>
        <v>5</v>
      </c>
      <c r="H144" t="str">
        <f>"T"&amp;ROUNDUP(G144/3,0)</f>
        <v>T2</v>
      </c>
    </row>
    <row r="145" spans="1:8">
      <c r="A145" s="10">
        <v>45792</v>
      </c>
      <c r="B145">
        <v>144</v>
      </c>
      <c r="C145">
        <v>640</v>
      </c>
      <c r="D145" t="s">
        <v>101</v>
      </c>
      <c r="E145" s="9">
        <v>14500</v>
      </c>
      <c r="F145" t="str">
        <f>VLOOKUP(C145,'Plan contable'!$A$2:$C$16,3,FALSE)</f>
        <v>Gastos de personal</v>
      </c>
      <c r="G145">
        <f>MONTH(A145)</f>
        <v>5</v>
      </c>
      <c r="H145" t="str">
        <f>"T"&amp;ROUNDUP(G145/3,0)</f>
        <v>T2</v>
      </c>
    </row>
    <row r="146" spans="1:8">
      <c r="A146" s="10">
        <v>45794</v>
      </c>
      <c r="B146">
        <v>145</v>
      </c>
      <c r="C146">
        <v>629</v>
      </c>
      <c r="D146" t="s">
        <v>90</v>
      </c>
      <c r="E146" s="9">
        <v>117.72</v>
      </c>
      <c r="F146" t="str">
        <f>VLOOKUP(C146,'Plan contable'!$A$2:$C$16,3,FALSE)</f>
        <v>Otros gastos de explotación</v>
      </c>
      <c r="G146">
        <f>MONTH(A146)</f>
        <v>5</v>
      </c>
      <c r="H146" t="str">
        <f>"T"&amp;ROUNDUP(G146/3,0)</f>
        <v>T2</v>
      </c>
    </row>
    <row r="147" spans="1:8">
      <c r="A147" s="10">
        <v>45794</v>
      </c>
      <c r="B147">
        <v>146</v>
      </c>
      <c r="C147">
        <v>700</v>
      </c>
      <c r="D147" t="s">
        <v>91</v>
      </c>
      <c r="E147" s="9">
        <v>3444.99</v>
      </c>
      <c r="F147" t="str">
        <f>VLOOKUP(C147,'Plan contable'!$A$2:$C$16,3,FALSE)</f>
        <v>Importe neto de la cifra de negocios</v>
      </c>
      <c r="G147">
        <f>MONTH(A147)</f>
        <v>5</v>
      </c>
      <c r="H147" t="str">
        <f>"T"&amp;ROUNDUP(G147/3,0)</f>
        <v>T2</v>
      </c>
    </row>
    <row r="148" spans="1:8">
      <c r="A148" s="10">
        <v>45794</v>
      </c>
      <c r="B148">
        <v>147</v>
      </c>
      <c r="C148">
        <v>705</v>
      </c>
      <c r="D148" t="s">
        <v>97</v>
      </c>
      <c r="E148" s="9">
        <v>1461.78</v>
      </c>
      <c r="F148" t="str">
        <f>VLOOKUP(C148,'Plan contable'!$A$2:$C$16,3,FALSE)</f>
        <v>Importe neto de la cifra de negocios</v>
      </c>
      <c r="G148">
        <f>MONTH(A148)</f>
        <v>5</v>
      </c>
      <c r="H148" t="str">
        <f>"T"&amp;ROUNDUP(G148/3,0)</f>
        <v>T2</v>
      </c>
    </row>
    <row r="149" spans="1:8">
      <c r="A149" s="10">
        <v>45795</v>
      </c>
      <c r="B149">
        <v>148</v>
      </c>
      <c r="C149">
        <v>625</v>
      </c>
      <c r="D149" t="s">
        <v>102</v>
      </c>
      <c r="E149" s="9">
        <v>180</v>
      </c>
      <c r="F149" t="str">
        <f>VLOOKUP(C149,'Plan contable'!$A$2:$C$16,3,FALSE)</f>
        <v>Otros gastos de explotación</v>
      </c>
      <c r="G149">
        <f>MONTH(A149)</f>
        <v>5</v>
      </c>
      <c r="H149" t="str">
        <f>"T"&amp;ROUNDUP(G149/3,0)</f>
        <v>T2</v>
      </c>
    </row>
    <row r="150" spans="1:8">
      <c r="A150" s="10">
        <v>45795</v>
      </c>
      <c r="B150">
        <v>149</v>
      </c>
      <c r="C150">
        <v>662</v>
      </c>
      <c r="D150" t="s">
        <v>103</v>
      </c>
      <c r="E150" s="9">
        <v>344.68</v>
      </c>
      <c r="F150" t="str">
        <f>VLOOKUP(C150,'Plan contable'!$A$2:$C$16,3,FALSE)</f>
        <v>Gastos financieros</v>
      </c>
      <c r="G150">
        <f>MONTH(A150)</f>
        <v>5</v>
      </c>
      <c r="H150" t="str">
        <f>"T"&amp;ROUNDUP(G150/3,0)</f>
        <v>T2</v>
      </c>
    </row>
    <row r="151" spans="1:8">
      <c r="A151" s="10">
        <v>45797</v>
      </c>
      <c r="B151">
        <v>150</v>
      </c>
      <c r="C151">
        <v>627</v>
      </c>
      <c r="D151" t="s">
        <v>104</v>
      </c>
      <c r="E151" s="9">
        <v>1154.96</v>
      </c>
      <c r="F151" t="str">
        <f>VLOOKUP(C151,'Plan contable'!$A$2:$C$16,3,FALSE)</f>
        <v>Otros gastos de explotación</v>
      </c>
      <c r="G151">
        <f>MONTH(A151)</f>
        <v>5</v>
      </c>
      <c r="H151" t="str">
        <f>"T"&amp;ROUNDUP(G151/3,0)</f>
        <v>T2</v>
      </c>
    </row>
    <row r="152" spans="1:8">
      <c r="A152" s="10">
        <v>45798</v>
      </c>
      <c r="B152">
        <v>151</v>
      </c>
      <c r="C152">
        <v>600</v>
      </c>
      <c r="D152" t="s">
        <v>92</v>
      </c>
      <c r="E152" s="9">
        <v>2124.13</v>
      </c>
      <c r="F152" t="str">
        <f>VLOOKUP(C152,'Plan contable'!$A$2:$C$16,3,FALSE)</f>
        <v>Aprovisionamientos</v>
      </c>
      <c r="G152">
        <f>MONTH(A152)</f>
        <v>5</v>
      </c>
      <c r="H152" t="str">
        <f>"T"&amp;ROUNDUP(G152/3,0)</f>
        <v>T2</v>
      </c>
    </row>
    <row r="153" spans="1:8">
      <c r="A153" s="10">
        <v>45799</v>
      </c>
      <c r="B153">
        <v>152</v>
      </c>
      <c r="C153">
        <v>600</v>
      </c>
      <c r="D153" t="s">
        <v>92</v>
      </c>
      <c r="E153" s="9">
        <v>1050.2</v>
      </c>
      <c r="F153" t="str">
        <f>VLOOKUP(C153,'Plan contable'!$A$2:$C$16,3,FALSE)</f>
        <v>Aprovisionamientos</v>
      </c>
      <c r="G153">
        <f>MONTH(A153)</f>
        <v>5</v>
      </c>
      <c r="H153" t="str">
        <f>"T"&amp;ROUNDUP(G153/3,0)</f>
        <v>T2</v>
      </c>
    </row>
    <row r="154" spans="1:8">
      <c r="A154" s="10">
        <v>45799</v>
      </c>
      <c r="B154">
        <v>153</v>
      </c>
      <c r="C154">
        <v>705</v>
      </c>
      <c r="D154" t="s">
        <v>97</v>
      </c>
      <c r="E154" s="9">
        <v>1724.33</v>
      </c>
      <c r="F154" t="str">
        <f>VLOOKUP(C154,'Plan contable'!$A$2:$C$16,3,FALSE)</f>
        <v>Importe neto de la cifra de negocios</v>
      </c>
      <c r="G154">
        <f>MONTH(A154)</f>
        <v>5</v>
      </c>
      <c r="H154" t="str">
        <f>"T"&amp;ROUNDUP(G154/3,0)</f>
        <v>T2</v>
      </c>
    </row>
    <row r="155" spans="1:8">
      <c r="A155" s="10">
        <v>45801</v>
      </c>
      <c r="B155">
        <v>154</v>
      </c>
      <c r="C155">
        <v>705</v>
      </c>
      <c r="D155" t="s">
        <v>97</v>
      </c>
      <c r="E155" s="9">
        <v>567.92</v>
      </c>
      <c r="F155" t="str">
        <f>VLOOKUP(C155,'Plan contable'!$A$2:$C$16,3,FALSE)</f>
        <v>Importe neto de la cifra de negocios</v>
      </c>
      <c r="G155">
        <f>MONTH(A155)</f>
        <v>5</v>
      </c>
      <c r="H155" t="str">
        <f>"T"&amp;ROUNDUP(G155/3,0)</f>
        <v>T2</v>
      </c>
    </row>
    <row r="156" spans="1:8">
      <c r="A156" s="10">
        <v>45803</v>
      </c>
      <c r="B156">
        <v>155</v>
      </c>
      <c r="C156">
        <v>700</v>
      </c>
      <c r="D156" t="s">
        <v>91</v>
      </c>
      <c r="E156" s="9">
        <v>3291.61</v>
      </c>
      <c r="F156" t="str">
        <f>VLOOKUP(C156,'Plan contable'!$A$2:$C$16,3,FALSE)</f>
        <v>Importe neto de la cifra de negocios</v>
      </c>
      <c r="G156">
        <f>MONTH(A156)</f>
        <v>5</v>
      </c>
      <c r="H156" t="str">
        <f>"T"&amp;ROUNDUP(G156/3,0)</f>
        <v>T2</v>
      </c>
    </row>
    <row r="157" spans="1:8">
      <c r="A157" s="10">
        <v>45810</v>
      </c>
      <c r="B157">
        <v>156</v>
      </c>
      <c r="C157">
        <v>700</v>
      </c>
      <c r="D157" t="s">
        <v>105</v>
      </c>
      <c r="E157" s="9">
        <v>2228.68</v>
      </c>
      <c r="F157" t="str">
        <f>VLOOKUP(C157,'Plan contable'!$A$2:$C$16,3,FALSE)</f>
        <v>Importe neto de la cifra de negocios</v>
      </c>
      <c r="G157">
        <f>MONTH(A157)</f>
        <v>6</v>
      </c>
      <c r="H157" t="str">
        <f>"T"&amp;ROUNDUP(G157/3,0)</f>
        <v>T2</v>
      </c>
    </row>
    <row r="158" spans="1:8">
      <c r="A158" s="10">
        <v>45811</v>
      </c>
      <c r="B158">
        <v>157</v>
      </c>
      <c r="C158">
        <v>600</v>
      </c>
      <c r="D158" t="s">
        <v>106</v>
      </c>
      <c r="E158" s="9">
        <v>784.55</v>
      </c>
      <c r="F158" t="str">
        <f>VLOOKUP(C158,'Plan contable'!$A$2:$C$16,3,FALSE)</f>
        <v>Aprovisionamientos</v>
      </c>
      <c r="G158">
        <f>MONTH(A158)</f>
        <v>6</v>
      </c>
      <c r="H158" t="str">
        <f>"T"&amp;ROUNDUP(G158/3,0)</f>
        <v>T2</v>
      </c>
    </row>
    <row r="159" spans="1:8">
      <c r="A159" s="10">
        <v>45812</v>
      </c>
      <c r="B159">
        <v>158</v>
      </c>
      <c r="C159">
        <v>700</v>
      </c>
      <c r="D159" t="s">
        <v>105</v>
      </c>
      <c r="E159" s="9">
        <v>3084.61</v>
      </c>
      <c r="F159" t="str">
        <f>VLOOKUP(C159,'Plan contable'!$A$2:$C$16,3,FALSE)</f>
        <v>Importe neto de la cifra de negocios</v>
      </c>
      <c r="G159">
        <f>MONTH(A159)</f>
        <v>6</v>
      </c>
      <c r="H159" t="str">
        <f>"T"&amp;ROUNDUP(G159/3,0)</f>
        <v>T2</v>
      </c>
    </row>
    <row r="160" spans="1:8">
      <c r="A160" s="10">
        <v>45813</v>
      </c>
      <c r="B160">
        <v>159</v>
      </c>
      <c r="C160">
        <v>642</v>
      </c>
      <c r="D160" t="s">
        <v>107</v>
      </c>
      <c r="E160" s="9">
        <v>4650</v>
      </c>
      <c r="F160" t="str">
        <f>VLOOKUP(C160,'Plan contable'!$A$2:$C$16,3,FALSE)</f>
        <v>Gastos de personal</v>
      </c>
      <c r="G160">
        <f>MONTH(A160)</f>
        <v>6</v>
      </c>
      <c r="H160" t="str">
        <f>"T"&amp;ROUNDUP(G160/3,0)</f>
        <v>T2</v>
      </c>
    </row>
    <row r="161" spans="1:8">
      <c r="A161" s="10">
        <v>45814</v>
      </c>
      <c r="B161">
        <v>160</v>
      </c>
      <c r="C161">
        <v>621</v>
      </c>
      <c r="D161" t="s">
        <v>108</v>
      </c>
      <c r="E161" s="9">
        <v>1800</v>
      </c>
      <c r="F161" t="str">
        <f>VLOOKUP(C161,'Plan contable'!$A$2:$C$16,3,FALSE)</f>
        <v>Otros gastos de explotación</v>
      </c>
      <c r="G161">
        <f>MONTH(A161)</f>
        <v>6</v>
      </c>
      <c r="H161" t="str">
        <f>"T"&amp;ROUNDUP(G161/3,0)</f>
        <v>T2</v>
      </c>
    </row>
    <row r="162" spans="1:8">
      <c r="A162" s="10">
        <v>45816</v>
      </c>
      <c r="B162">
        <v>161</v>
      </c>
      <c r="C162">
        <v>700</v>
      </c>
      <c r="D162" t="s">
        <v>105</v>
      </c>
      <c r="E162" s="9">
        <v>3824.05</v>
      </c>
      <c r="F162" t="str">
        <f>VLOOKUP(C162,'Plan contable'!$A$2:$C$16,3,FALSE)</f>
        <v>Importe neto de la cifra de negocios</v>
      </c>
      <c r="G162">
        <f>MONTH(A162)</f>
        <v>6</v>
      </c>
      <c r="H162" t="str">
        <f>"T"&amp;ROUNDUP(G162/3,0)</f>
        <v>T2</v>
      </c>
    </row>
    <row r="163" spans="1:8">
      <c r="A163" s="10">
        <v>45818</v>
      </c>
      <c r="B163">
        <v>162</v>
      </c>
      <c r="C163">
        <v>622</v>
      </c>
      <c r="D163" t="s">
        <v>109</v>
      </c>
      <c r="E163" s="9">
        <v>525.49</v>
      </c>
      <c r="F163" t="str">
        <f>VLOOKUP(C163,'Plan contable'!$A$2:$C$16,3,FALSE)</f>
        <v>Otros gastos de explotación</v>
      </c>
      <c r="G163">
        <f>MONTH(A163)</f>
        <v>6</v>
      </c>
      <c r="H163" t="str">
        <f>"T"&amp;ROUNDUP(G163/3,0)</f>
        <v>T2</v>
      </c>
    </row>
    <row r="164" spans="1:8">
      <c r="A164" s="10">
        <v>45819</v>
      </c>
      <c r="B164">
        <v>163</v>
      </c>
      <c r="C164">
        <v>700</v>
      </c>
      <c r="D164" t="s">
        <v>105</v>
      </c>
      <c r="E164" s="9">
        <v>3770.6</v>
      </c>
      <c r="F164" t="str">
        <f>VLOOKUP(C164,'Plan contable'!$A$2:$C$16,3,FALSE)</f>
        <v>Importe neto de la cifra de negocios</v>
      </c>
      <c r="G164">
        <f>MONTH(A164)</f>
        <v>6</v>
      </c>
      <c r="H164" t="str">
        <f>"T"&amp;ROUNDUP(G164/3,0)</f>
        <v>T2</v>
      </c>
    </row>
    <row r="165" spans="1:8">
      <c r="A165" s="10">
        <v>45820</v>
      </c>
      <c r="B165">
        <v>164</v>
      </c>
      <c r="C165">
        <v>600</v>
      </c>
      <c r="D165" t="s">
        <v>106</v>
      </c>
      <c r="E165" s="9">
        <v>933.89</v>
      </c>
      <c r="F165" t="str">
        <f>VLOOKUP(C165,'Plan contable'!$A$2:$C$16,3,FALSE)</f>
        <v>Aprovisionamientos</v>
      </c>
      <c r="G165">
        <f>MONTH(A165)</f>
        <v>6</v>
      </c>
      <c r="H165" t="str">
        <f>"T"&amp;ROUNDUP(G165/3,0)</f>
        <v>T2</v>
      </c>
    </row>
    <row r="166" spans="1:8">
      <c r="A166" s="10">
        <v>45821</v>
      </c>
      <c r="B166">
        <v>165</v>
      </c>
      <c r="C166">
        <v>627</v>
      </c>
      <c r="D166" t="s">
        <v>110</v>
      </c>
      <c r="E166" s="9">
        <v>593.9299999999999</v>
      </c>
      <c r="F166" t="str">
        <f>VLOOKUP(C166,'Plan contable'!$A$2:$C$16,3,FALSE)</f>
        <v>Otros gastos de explotación</v>
      </c>
      <c r="G166">
        <f>MONTH(A166)</f>
        <v>6</v>
      </c>
      <c r="H166" t="str">
        <f>"T"&amp;ROUNDUP(G166/3,0)</f>
        <v>T2</v>
      </c>
    </row>
    <row r="167" spans="1:8">
      <c r="A167" s="10">
        <v>45821</v>
      </c>
      <c r="B167">
        <v>166</v>
      </c>
      <c r="C167">
        <v>628</v>
      </c>
      <c r="D167" t="s">
        <v>111</v>
      </c>
      <c r="E167" s="9">
        <v>313.53</v>
      </c>
      <c r="F167" t="str">
        <f>VLOOKUP(C167,'Plan contable'!$A$2:$C$16,3,FALSE)</f>
        <v>Otros gastos de explotación</v>
      </c>
      <c r="G167">
        <f>MONTH(A167)</f>
        <v>6</v>
      </c>
      <c r="H167" t="str">
        <f>"T"&amp;ROUNDUP(G167/3,0)</f>
        <v>T2</v>
      </c>
    </row>
    <row r="168" spans="1:8">
      <c r="A168" s="10">
        <v>45821</v>
      </c>
      <c r="B168">
        <v>167</v>
      </c>
      <c r="C168">
        <v>705</v>
      </c>
      <c r="D168" t="s">
        <v>112</v>
      </c>
      <c r="E168" s="9">
        <v>671.89</v>
      </c>
      <c r="F168" t="str">
        <f>VLOOKUP(C168,'Plan contable'!$A$2:$C$16,3,FALSE)</f>
        <v>Importe neto de la cifra de negocios</v>
      </c>
      <c r="G168">
        <f>MONTH(A168)</f>
        <v>6</v>
      </c>
      <c r="H168" t="str">
        <f>"T"&amp;ROUNDUP(G168/3,0)</f>
        <v>T2</v>
      </c>
    </row>
    <row r="169" spans="1:8">
      <c r="A169" s="10">
        <v>45823</v>
      </c>
      <c r="B169">
        <v>168</v>
      </c>
      <c r="C169">
        <v>629</v>
      </c>
      <c r="D169" t="s">
        <v>113</v>
      </c>
      <c r="E169" s="9">
        <v>120.15</v>
      </c>
      <c r="F169" t="str">
        <f>VLOOKUP(C169,'Plan contable'!$A$2:$C$16,3,FALSE)</f>
        <v>Otros gastos de explotación</v>
      </c>
      <c r="G169">
        <f>MONTH(A169)</f>
        <v>6</v>
      </c>
      <c r="H169" t="str">
        <f>"T"&amp;ROUNDUP(G169/3,0)</f>
        <v>T2</v>
      </c>
    </row>
    <row r="170" spans="1:8">
      <c r="A170" s="10">
        <v>45823</v>
      </c>
      <c r="B170">
        <v>169</v>
      </c>
      <c r="C170">
        <v>705</v>
      </c>
      <c r="D170" t="s">
        <v>112</v>
      </c>
      <c r="E170" s="9">
        <v>1064.09</v>
      </c>
      <c r="F170" t="str">
        <f>VLOOKUP(C170,'Plan contable'!$A$2:$C$16,3,FALSE)</f>
        <v>Importe neto de la cifra de negocios</v>
      </c>
      <c r="G170">
        <f>MONTH(A170)</f>
        <v>6</v>
      </c>
      <c r="H170" t="str">
        <f>"T"&amp;ROUNDUP(G170/3,0)</f>
        <v>T2</v>
      </c>
    </row>
    <row r="171" spans="1:8">
      <c r="A171" s="10">
        <v>45825</v>
      </c>
      <c r="B171">
        <v>170</v>
      </c>
      <c r="C171">
        <v>700</v>
      </c>
      <c r="D171" t="s">
        <v>105</v>
      </c>
      <c r="E171" s="9">
        <v>2567.52</v>
      </c>
      <c r="F171" t="str">
        <f>VLOOKUP(C171,'Plan contable'!$A$2:$C$16,3,FALSE)</f>
        <v>Importe neto de la cifra de negocios</v>
      </c>
      <c r="G171">
        <f>MONTH(A171)</f>
        <v>6</v>
      </c>
      <c r="H171" t="str">
        <f>"T"&amp;ROUNDUP(G171/3,0)</f>
        <v>T2</v>
      </c>
    </row>
    <row r="172" spans="1:8">
      <c r="A172" s="10">
        <v>45826</v>
      </c>
      <c r="B172">
        <v>171</v>
      </c>
      <c r="C172">
        <v>705</v>
      </c>
      <c r="D172" t="s">
        <v>112</v>
      </c>
      <c r="E172" s="9">
        <v>563.22</v>
      </c>
      <c r="F172" t="str">
        <f>VLOOKUP(C172,'Plan contable'!$A$2:$C$16,3,FALSE)</f>
        <v>Importe neto de la cifra de negocios</v>
      </c>
      <c r="G172">
        <f>MONTH(A172)</f>
        <v>6</v>
      </c>
      <c r="H172" t="str">
        <f>"T"&amp;ROUNDUP(G172/3,0)</f>
        <v>T2</v>
      </c>
    </row>
    <row r="173" spans="1:8">
      <c r="A173" s="10">
        <v>45827</v>
      </c>
      <c r="B173">
        <v>172</v>
      </c>
      <c r="C173">
        <v>607</v>
      </c>
      <c r="D173" t="s">
        <v>114</v>
      </c>
      <c r="E173" s="9">
        <v>695.97</v>
      </c>
      <c r="F173" t="str">
        <f>VLOOKUP(C173,'Plan contable'!$A$2:$C$16,3,FALSE)</f>
        <v>Aprovisionamientos</v>
      </c>
      <c r="G173">
        <f>MONTH(A173)</f>
        <v>6</v>
      </c>
      <c r="H173" t="str">
        <f>"T"&amp;ROUNDUP(G173/3,0)</f>
        <v>T2</v>
      </c>
    </row>
    <row r="174" spans="1:8">
      <c r="A174" s="10">
        <v>45827</v>
      </c>
      <c r="B174">
        <v>173</v>
      </c>
      <c r="C174">
        <v>623</v>
      </c>
      <c r="D174" t="s">
        <v>115</v>
      </c>
      <c r="E174" s="9">
        <v>491.14</v>
      </c>
      <c r="F174" t="str">
        <f>VLOOKUP(C174,'Plan contable'!$A$2:$C$16,3,FALSE)</f>
        <v>Otros gastos de explotación</v>
      </c>
      <c r="G174">
        <f>MONTH(A174)</f>
        <v>6</v>
      </c>
      <c r="H174" t="str">
        <f>"T"&amp;ROUNDUP(G174/3,0)</f>
        <v>T2</v>
      </c>
    </row>
    <row r="175" spans="1:8">
      <c r="A175" s="10">
        <v>45829</v>
      </c>
      <c r="B175">
        <v>174</v>
      </c>
      <c r="C175">
        <v>640</v>
      </c>
      <c r="D175" t="s">
        <v>116</v>
      </c>
      <c r="E175" s="9">
        <v>14500</v>
      </c>
      <c r="F175" t="str">
        <f>VLOOKUP(C175,'Plan contable'!$A$2:$C$16,3,FALSE)</f>
        <v>Gastos de personal</v>
      </c>
      <c r="G175">
        <f>MONTH(A175)</f>
        <v>6</v>
      </c>
      <c r="H175" t="str">
        <f>"T"&amp;ROUNDUP(G175/3,0)</f>
        <v>T2</v>
      </c>
    </row>
    <row r="176" spans="1:8">
      <c r="A176" s="10">
        <v>45830</v>
      </c>
      <c r="B176">
        <v>175</v>
      </c>
      <c r="C176">
        <v>700</v>
      </c>
      <c r="D176" t="s">
        <v>105</v>
      </c>
      <c r="E176" s="9">
        <v>2462.33</v>
      </c>
      <c r="F176" t="str">
        <f>VLOOKUP(C176,'Plan contable'!$A$2:$C$16,3,FALSE)</f>
        <v>Importe neto de la cifra de negocios</v>
      </c>
      <c r="G176">
        <f>MONTH(A176)</f>
        <v>6</v>
      </c>
      <c r="H176" t="str">
        <f>"T"&amp;ROUNDUP(G176/3,0)</f>
        <v>T2</v>
      </c>
    </row>
    <row r="177" spans="1:8">
      <c r="A177" s="10">
        <v>45830</v>
      </c>
      <c r="B177">
        <v>176</v>
      </c>
      <c r="C177">
        <v>705</v>
      </c>
      <c r="D177" t="s">
        <v>112</v>
      </c>
      <c r="E177" s="9">
        <v>1257.76</v>
      </c>
      <c r="F177" t="str">
        <f>VLOOKUP(C177,'Plan contable'!$A$2:$C$16,3,FALSE)</f>
        <v>Importe neto de la cifra de negocios</v>
      </c>
      <c r="G177">
        <f>MONTH(A177)</f>
        <v>6</v>
      </c>
      <c r="H177" t="str">
        <f>"T"&amp;ROUNDUP(G177/3,0)</f>
        <v>T2</v>
      </c>
    </row>
    <row r="178" spans="1:8">
      <c r="A178" s="10">
        <v>45830</v>
      </c>
      <c r="B178">
        <v>177</v>
      </c>
      <c r="C178">
        <v>705</v>
      </c>
      <c r="D178" t="s">
        <v>112</v>
      </c>
      <c r="E178" s="9">
        <v>1096.62</v>
      </c>
      <c r="F178" t="str">
        <f>VLOOKUP(C178,'Plan contable'!$A$2:$C$16,3,FALSE)</f>
        <v>Importe neto de la cifra de negocios</v>
      </c>
      <c r="G178">
        <f>MONTH(A178)</f>
        <v>6</v>
      </c>
      <c r="H178" t="str">
        <f>"T"&amp;ROUNDUP(G178/3,0)</f>
        <v>T2</v>
      </c>
    </row>
    <row r="179" spans="1:8">
      <c r="A179" s="10">
        <v>45831</v>
      </c>
      <c r="B179">
        <v>178</v>
      </c>
      <c r="C179">
        <v>600</v>
      </c>
      <c r="D179" t="s">
        <v>106</v>
      </c>
      <c r="E179" s="9">
        <v>616.24</v>
      </c>
      <c r="F179" t="str">
        <f>VLOOKUP(C179,'Plan contable'!$A$2:$C$16,3,FALSE)</f>
        <v>Aprovisionamientos</v>
      </c>
      <c r="G179">
        <f>MONTH(A179)</f>
        <v>6</v>
      </c>
      <c r="H179" t="str">
        <f>"T"&amp;ROUNDUP(G179/3,0)</f>
        <v>T2</v>
      </c>
    </row>
    <row r="180" spans="1:8">
      <c r="A180" s="10">
        <v>45831</v>
      </c>
      <c r="B180">
        <v>179</v>
      </c>
      <c r="C180">
        <v>628</v>
      </c>
      <c r="D180" t="s">
        <v>111</v>
      </c>
      <c r="E180" s="9">
        <v>200.24</v>
      </c>
      <c r="F180" t="str">
        <f>VLOOKUP(C180,'Plan contable'!$A$2:$C$16,3,FALSE)</f>
        <v>Otros gastos de explotación</v>
      </c>
      <c r="G180">
        <f>MONTH(A180)</f>
        <v>6</v>
      </c>
      <c r="H180" t="str">
        <f>"T"&amp;ROUNDUP(G180/3,0)</f>
        <v>T2</v>
      </c>
    </row>
    <row r="181" spans="1:8">
      <c r="A181" s="10">
        <v>45833</v>
      </c>
      <c r="B181">
        <v>180</v>
      </c>
      <c r="C181">
        <v>607</v>
      </c>
      <c r="D181" t="s">
        <v>114</v>
      </c>
      <c r="E181" s="9">
        <v>283.59</v>
      </c>
      <c r="F181" t="str">
        <f>VLOOKUP(C181,'Plan contable'!$A$2:$C$16,3,FALSE)</f>
        <v>Aprovisionamientos</v>
      </c>
      <c r="G181">
        <f>MONTH(A181)</f>
        <v>6</v>
      </c>
      <c r="H181" t="str">
        <f>"T"&amp;ROUNDUP(G181/3,0)</f>
        <v>T2</v>
      </c>
    </row>
    <row r="182" spans="1:8">
      <c r="A182" s="10">
        <v>45833</v>
      </c>
      <c r="B182">
        <v>181</v>
      </c>
      <c r="C182">
        <v>681</v>
      </c>
      <c r="D182" t="s">
        <v>117</v>
      </c>
      <c r="E182" s="9">
        <v>1250</v>
      </c>
      <c r="F182" t="str">
        <f>VLOOKUP(C182,'Plan contable'!$A$2:$C$16,3,FALSE)</f>
        <v>Amortización del inmovilizado</v>
      </c>
      <c r="G182">
        <f>MONTH(A182)</f>
        <v>6</v>
      </c>
      <c r="H182" t="str">
        <f>"T"&amp;ROUNDUP(G182/3,0)</f>
        <v>T2</v>
      </c>
    </row>
    <row r="183" spans="1:8">
      <c r="A183" s="10">
        <v>45834</v>
      </c>
      <c r="B183">
        <v>182</v>
      </c>
      <c r="C183">
        <v>625</v>
      </c>
      <c r="D183" t="s">
        <v>118</v>
      </c>
      <c r="E183" s="9">
        <v>180</v>
      </c>
      <c r="F183" t="str">
        <f>VLOOKUP(C183,'Plan contable'!$A$2:$C$16,3,FALSE)</f>
        <v>Otros gastos de explotación</v>
      </c>
      <c r="G183">
        <f>MONTH(A183)</f>
        <v>6</v>
      </c>
      <c r="H183" t="str">
        <f>"T"&amp;ROUNDUP(G183/3,0)</f>
        <v>T2</v>
      </c>
    </row>
    <row r="184" spans="1:8">
      <c r="A184" s="10">
        <v>45834</v>
      </c>
      <c r="B184">
        <v>183</v>
      </c>
      <c r="C184">
        <v>662</v>
      </c>
      <c r="D184" t="s">
        <v>119</v>
      </c>
      <c r="E184" s="9">
        <v>371.08</v>
      </c>
      <c r="F184" t="str">
        <f>VLOOKUP(C184,'Plan contable'!$A$2:$C$16,3,FALSE)</f>
        <v>Gastos financieros</v>
      </c>
      <c r="G184">
        <f>MONTH(A184)</f>
        <v>6</v>
      </c>
      <c r="H184" t="str">
        <f>"T"&amp;ROUNDUP(G184/3,0)</f>
        <v>T2</v>
      </c>
    </row>
    <row r="185" spans="1:8">
      <c r="A185" s="10">
        <v>45835</v>
      </c>
      <c r="B185">
        <v>184</v>
      </c>
      <c r="C185">
        <v>600</v>
      </c>
      <c r="D185" t="s">
        <v>106</v>
      </c>
      <c r="E185" s="9">
        <v>1325.23</v>
      </c>
      <c r="F185" t="str">
        <f>VLOOKUP(C185,'Plan contable'!$A$2:$C$16,3,FALSE)</f>
        <v>Aprovisionamientos</v>
      </c>
      <c r="G185">
        <f>MONTH(A185)</f>
        <v>6</v>
      </c>
      <c r="H185" t="str">
        <f>"T"&amp;ROUNDUP(G185/3,0)</f>
        <v>T2</v>
      </c>
    </row>
    <row r="186" spans="1:8">
      <c r="A186" s="10">
        <v>45835</v>
      </c>
      <c r="B186">
        <v>185</v>
      </c>
      <c r="C186">
        <v>629</v>
      </c>
      <c r="D186" t="s">
        <v>113</v>
      </c>
      <c r="E186" s="9">
        <v>96.54000000000001</v>
      </c>
      <c r="F186" t="str">
        <f>VLOOKUP(C186,'Plan contable'!$A$2:$C$16,3,FALSE)</f>
        <v>Otros gastos de explotación</v>
      </c>
      <c r="G186">
        <f>MONTH(A186)</f>
        <v>6</v>
      </c>
      <c r="H186" t="str">
        <f>"T"&amp;ROUNDUP(G186/3,0)</f>
        <v>T2</v>
      </c>
    </row>
    <row r="187" spans="1:8">
      <c r="A187" s="10">
        <v>45836</v>
      </c>
      <c r="B187">
        <v>186</v>
      </c>
      <c r="C187">
        <v>600</v>
      </c>
      <c r="D187" t="s">
        <v>106</v>
      </c>
      <c r="E187" s="9">
        <v>1673.16</v>
      </c>
      <c r="F187" t="str">
        <f>VLOOKUP(C187,'Plan contable'!$A$2:$C$16,3,FALSE)</f>
        <v>Aprovisionamientos</v>
      </c>
      <c r="G187">
        <f>MONTH(A187)</f>
        <v>6</v>
      </c>
      <c r="H187" t="str">
        <f>"T"&amp;ROUNDUP(G187/3,0)</f>
        <v>T2</v>
      </c>
    </row>
    <row r="188" spans="1:8">
      <c r="A188" s="10">
        <v>45839</v>
      </c>
      <c r="B188">
        <v>187</v>
      </c>
      <c r="C188">
        <v>607</v>
      </c>
      <c r="D188" t="s">
        <v>120</v>
      </c>
      <c r="E188" s="9">
        <v>209.23</v>
      </c>
      <c r="F188" t="str">
        <f>VLOOKUP(C188,'Plan contable'!$A$2:$C$16,3,FALSE)</f>
        <v>Aprovisionamientos</v>
      </c>
      <c r="G188">
        <f>MONTH(A188)</f>
        <v>7</v>
      </c>
      <c r="H188" t="str">
        <f>"T"&amp;ROUNDUP(G188/3,0)</f>
        <v>T3</v>
      </c>
    </row>
    <row r="189" spans="1:8">
      <c r="A189" s="10">
        <v>45840</v>
      </c>
      <c r="B189">
        <v>188</v>
      </c>
      <c r="C189">
        <v>700</v>
      </c>
      <c r="D189" t="s">
        <v>121</v>
      </c>
      <c r="E189" s="9">
        <v>3205.51</v>
      </c>
      <c r="F189" t="str">
        <f>VLOOKUP(C189,'Plan contable'!$A$2:$C$16,3,FALSE)</f>
        <v>Importe neto de la cifra de negocios</v>
      </c>
      <c r="G189">
        <f>MONTH(A189)</f>
        <v>7</v>
      </c>
      <c r="H189" t="str">
        <f>"T"&amp;ROUNDUP(G189/3,0)</f>
        <v>T3</v>
      </c>
    </row>
    <row r="190" spans="1:8">
      <c r="A190" s="10">
        <v>45842</v>
      </c>
      <c r="B190">
        <v>189</v>
      </c>
      <c r="C190">
        <v>600</v>
      </c>
      <c r="D190" t="s">
        <v>122</v>
      </c>
      <c r="E190" s="9">
        <v>802.89</v>
      </c>
      <c r="F190" t="str">
        <f>VLOOKUP(C190,'Plan contable'!$A$2:$C$16,3,FALSE)</f>
        <v>Aprovisionamientos</v>
      </c>
      <c r="G190">
        <f>MONTH(A190)</f>
        <v>7</v>
      </c>
      <c r="H190" t="str">
        <f>"T"&amp;ROUNDUP(G190/3,0)</f>
        <v>T3</v>
      </c>
    </row>
    <row r="191" spans="1:8">
      <c r="A191" s="10">
        <v>45842</v>
      </c>
      <c r="B191">
        <v>190</v>
      </c>
      <c r="C191">
        <v>600</v>
      </c>
      <c r="D191" t="s">
        <v>122</v>
      </c>
      <c r="E191" s="9">
        <v>1196.06</v>
      </c>
      <c r="F191" t="str">
        <f>VLOOKUP(C191,'Plan contable'!$A$2:$C$16,3,FALSE)</f>
        <v>Aprovisionamientos</v>
      </c>
      <c r="G191">
        <f>MONTH(A191)</f>
        <v>7</v>
      </c>
      <c r="H191" t="str">
        <f>"T"&amp;ROUNDUP(G191/3,0)</f>
        <v>T3</v>
      </c>
    </row>
    <row r="192" spans="1:8">
      <c r="A192" s="10">
        <v>45842</v>
      </c>
      <c r="B192">
        <v>191</v>
      </c>
      <c r="C192">
        <v>705</v>
      </c>
      <c r="D192" t="s">
        <v>123</v>
      </c>
      <c r="E192" s="9">
        <v>1254.66</v>
      </c>
      <c r="F192" t="str">
        <f>VLOOKUP(C192,'Plan contable'!$A$2:$C$16,3,FALSE)</f>
        <v>Importe neto de la cifra de negocios</v>
      </c>
      <c r="G192">
        <f>MONTH(A192)</f>
        <v>7</v>
      </c>
      <c r="H192" t="str">
        <f>"T"&amp;ROUNDUP(G192/3,0)</f>
        <v>T3</v>
      </c>
    </row>
    <row r="193" spans="1:8">
      <c r="A193" s="10">
        <v>45844</v>
      </c>
      <c r="B193">
        <v>192</v>
      </c>
      <c r="C193">
        <v>621</v>
      </c>
      <c r="D193" t="s">
        <v>124</v>
      </c>
      <c r="E193" s="9">
        <v>1800</v>
      </c>
      <c r="F193" t="str">
        <f>VLOOKUP(C193,'Plan contable'!$A$2:$C$16,3,FALSE)</f>
        <v>Otros gastos de explotación</v>
      </c>
      <c r="G193">
        <f>MONTH(A193)</f>
        <v>7</v>
      </c>
      <c r="H193" t="str">
        <f>"T"&amp;ROUNDUP(G193/3,0)</f>
        <v>T3</v>
      </c>
    </row>
    <row r="194" spans="1:8">
      <c r="A194" s="10">
        <v>45844</v>
      </c>
      <c r="B194">
        <v>193</v>
      </c>
      <c r="C194">
        <v>622</v>
      </c>
      <c r="D194" t="s">
        <v>125</v>
      </c>
      <c r="E194" s="9">
        <v>661.91</v>
      </c>
      <c r="F194" t="str">
        <f>VLOOKUP(C194,'Plan contable'!$A$2:$C$16,3,FALSE)</f>
        <v>Otros gastos de explotación</v>
      </c>
      <c r="G194">
        <f>MONTH(A194)</f>
        <v>7</v>
      </c>
      <c r="H194" t="str">
        <f>"T"&amp;ROUNDUP(G194/3,0)</f>
        <v>T3</v>
      </c>
    </row>
    <row r="195" spans="1:8">
      <c r="A195" s="10">
        <v>45846</v>
      </c>
      <c r="B195">
        <v>194</v>
      </c>
      <c r="C195">
        <v>600</v>
      </c>
      <c r="D195" t="s">
        <v>122</v>
      </c>
      <c r="E195" s="9">
        <v>1233.71</v>
      </c>
      <c r="F195" t="str">
        <f>VLOOKUP(C195,'Plan contable'!$A$2:$C$16,3,FALSE)</f>
        <v>Aprovisionamientos</v>
      </c>
      <c r="G195">
        <f>MONTH(A195)</f>
        <v>7</v>
      </c>
      <c r="H195" t="str">
        <f>"T"&amp;ROUNDUP(G195/3,0)</f>
        <v>T3</v>
      </c>
    </row>
    <row r="196" spans="1:8">
      <c r="A196" s="10">
        <v>45846</v>
      </c>
      <c r="B196">
        <v>195</v>
      </c>
      <c r="C196">
        <v>681</v>
      </c>
      <c r="D196" t="s">
        <v>126</v>
      </c>
      <c r="E196" s="9">
        <v>1250</v>
      </c>
      <c r="F196" t="str">
        <f>VLOOKUP(C196,'Plan contable'!$A$2:$C$16,3,FALSE)</f>
        <v>Amortización del inmovilizado</v>
      </c>
      <c r="G196">
        <f>MONTH(A196)</f>
        <v>7</v>
      </c>
      <c r="H196" t="str">
        <f>"T"&amp;ROUNDUP(G196/3,0)</f>
        <v>T3</v>
      </c>
    </row>
    <row r="197" spans="1:8">
      <c r="A197" s="10">
        <v>45846</v>
      </c>
      <c r="B197">
        <v>196</v>
      </c>
      <c r="C197">
        <v>700</v>
      </c>
      <c r="D197" t="s">
        <v>121</v>
      </c>
      <c r="E197" s="9">
        <v>3230.71</v>
      </c>
      <c r="F197" t="str">
        <f>VLOOKUP(C197,'Plan contable'!$A$2:$C$16,3,FALSE)</f>
        <v>Importe neto de la cifra de negocios</v>
      </c>
      <c r="G197">
        <f>MONTH(A197)</f>
        <v>7</v>
      </c>
      <c r="H197" t="str">
        <f>"T"&amp;ROUNDUP(G197/3,0)</f>
        <v>T3</v>
      </c>
    </row>
    <row r="198" spans="1:8">
      <c r="A198" s="10">
        <v>45846</v>
      </c>
      <c r="B198">
        <v>197</v>
      </c>
      <c r="C198">
        <v>700</v>
      </c>
      <c r="D198" t="s">
        <v>121</v>
      </c>
      <c r="E198" s="9">
        <v>2504.58</v>
      </c>
      <c r="F198" t="str">
        <f>VLOOKUP(C198,'Plan contable'!$A$2:$C$16,3,FALSE)</f>
        <v>Importe neto de la cifra de negocios</v>
      </c>
      <c r="G198">
        <f>MONTH(A198)</f>
        <v>7</v>
      </c>
      <c r="H198" t="str">
        <f>"T"&amp;ROUNDUP(G198/3,0)</f>
        <v>T3</v>
      </c>
    </row>
    <row r="199" spans="1:8">
      <c r="A199" s="10">
        <v>45846</v>
      </c>
      <c r="B199">
        <v>198</v>
      </c>
      <c r="C199">
        <v>705</v>
      </c>
      <c r="D199" t="s">
        <v>123</v>
      </c>
      <c r="E199" s="9">
        <v>952.79</v>
      </c>
      <c r="F199" t="str">
        <f>VLOOKUP(C199,'Plan contable'!$A$2:$C$16,3,FALSE)</f>
        <v>Importe neto de la cifra de negocios</v>
      </c>
      <c r="G199">
        <f>MONTH(A199)</f>
        <v>7</v>
      </c>
      <c r="H199" t="str">
        <f>"T"&amp;ROUNDUP(G199/3,0)</f>
        <v>T3</v>
      </c>
    </row>
    <row r="200" spans="1:8">
      <c r="A200" s="10">
        <v>45847</v>
      </c>
      <c r="B200">
        <v>199</v>
      </c>
      <c r="C200">
        <v>623</v>
      </c>
      <c r="D200" t="s">
        <v>127</v>
      </c>
      <c r="E200" s="9">
        <v>379.78</v>
      </c>
      <c r="F200" t="str">
        <f>VLOOKUP(C200,'Plan contable'!$A$2:$C$16,3,FALSE)</f>
        <v>Otros gastos de explotación</v>
      </c>
      <c r="G200">
        <f>MONTH(A200)</f>
        <v>7</v>
      </c>
      <c r="H200" t="str">
        <f>"T"&amp;ROUNDUP(G200/3,0)</f>
        <v>T3</v>
      </c>
    </row>
    <row r="201" spans="1:8">
      <c r="A201" s="10">
        <v>45848</v>
      </c>
      <c r="B201">
        <v>200</v>
      </c>
      <c r="C201">
        <v>600</v>
      </c>
      <c r="D201" t="s">
        <v>122</v>
      </c>
      <c r="E201" s="9">
        <v>1642.14</v>
      </c>
      <c r="F201" t="str">
        <f>VLOOKUP(C201,'Plan contable'!$A$2:$C$16,3,FALSE)</f>
        <v>Aprovisionamientos</v>
      </c>
      <c r="G201">
        <f>MONTH(A201)</f>
        <v>7</v>
      </c>
      <c r="H201" t="str">
        <f>"T"&amp;ROUNDUP(G201/3,0)</f>
        <v>T3</v>
      </c>
    </row>
    <row r="202" spans="1:8">
      <c r="A202" s="10">
        <v>45849</v>
      </c>
      <c r="B202">
        <v>201</v>
      </c>
      <c r="C202">
        <v>642</v>
      </c>
      <c r="D202" t="s">
        <v>128</v>
      </c>
      <c r="E202" s="9">
        <v>4650</v>
      </c>
      <c r="F202" t="str">
        <f>VLOOKUP(C202,'Plan contable'!$A$2:$C$16,3,FALSE)</f>
        <v>Gastos de personal</v>
      </c>
      <c r="G202">
        <f>MONTH(A202)</f>
        <v>7</v>
      </c>
      <c r="H202" t="str">
        <f>"T"&amp;ROUNDUP(G202/3,0)</f>
        <v>T3</v>
      </c>
    </row>
    <row r="203" spans="1:8">
      <c r="A203" s="10">
        <v>45850</v>
      </c>
      <c r="B203">
        <v>202</v>
      </c>
      <c r="C203">
        <v>705</v>
      </c>
      <c r="D203" t="s">
        <v>123</v>
      </c>
      <c r="E203" s="9">
        <v>666.5</v>
      </c>
      <c r="F203" t="str">
        <f>VLOOKUP(C203,'Plan contable'!$A$2:$C$16,3,FALSE)</f>
        <v>Importe neto de la cifra de negocios</v>
      </c>
      <c r="G203">
        <f>MONTH(A203)</f>
        <v>7</v>
      </c>
      <c r="H203" t="str">
        <f>"T"&amp;ROUNDUP(G203/3,0)</f>
        <v>T3</v>
      </c>
    </row>
    <row r="204" spans="1:8">
      <c r="A204" s="10">
        <v>45853</v>
      </c>
      <c r="B204">
        <v>203</v>
      </c>
      <c r="C204">
        <v>629</v>
      </c>
      <c r="D204" t="s">
        <v>129</v>
      </c>
      <c r="E204" s="9">
        <v>78.62</v>
      </c>
      <c r="F204" t="str">
        <f>VLOOKUP(C204,'Plan contable'!$A$2:$C$16,3,FALSE)</f>
        <v>Otros gastos de explotación</v>
      </c>
      <c r="G204">
        <f>MONTH(A204)</f>
        <v>7</v>
      </c>
      <c r="H204" t="str">
        <f>"T"&amp;ROUNDUP(G204/3,0)</f>
        <v>T3</v>
      </c>
    </row>
    <row r="205" spans="1:8">
      <c r="A205" s="10">
        <v>45853</v>
      </c>
      <c r="B205">
        <v>204</v>
      </c>
      <c r="C205">
        <v>640</v>
      </c>
      <c r="D205" t="s">
        <v>130</v>
      </c>
      <c r="E205" s="9">
        <v>14500</v>
      </c>
      <c r="F205" t="str">
        <f>VLOOKUP(C205,'Plan contable'!$A$2:$C$16,3,FALSE)</f>
        <v>Gastos de personal</v>
      </c>
      <c r="G205">
        <f>MONTH(A205)</f>
        <v>7</v>
      </c>
      <c r="H205" t="str">
        <f>"T"&amp;ROUNDUP(G205/3,0)</f>
        <v>T3</v>
      </c>
    </row>
    <row r="206" spans="1:8">
      <c r="A206" s="10">
        <v>45854</v>
      </c>
      <c r="B206">
        <v>205</v>
      </c>
      <c r="C206">
        <v>625</v>
      </c>
      <c r="D206" t="s">
        <v>131</v>
      </c>
      <c r="E206" s="9">
        <v>180</v>
      </c>
      <c r="F206" t="str">
        <f>VLOOKUP(C206,'Plan contable'!$A$2:$C$16,3,FALSE)</f>
        <v>Otros gastos de explotación</v>
      </c>
      <c r="G206">
        <f>MONTH(A206)</f>
        <v>7</v>
      </c>
      <c r="H206" t="str">
        <f>"T"&amp;ROUNDUP(G206/3,0)</f>
        <v>T3</v>
      </c>
    </row>
    <row r="207" spans="1:8">
      <c r="A207" s="10">
        <v>45855</v>
      </c>
      <c r="B207">
        <v>206</v>
      </c>
      <c r="C207">
        <v>628</v>
      </c>
      <c r="D207" t="s">
        <v>132</v>
      </c>
      <c r="E207" s="9">
        <v>313.81</v>
      </c>
      <c r="F207" t="str">
        <f>VLOOKUP(C207,'Plan contable'!$A$2:$C$16,3,FALSE)</f>
        <v>Otros gastos de explotación</v>
      </c>
      <c r="G207">
        <f>MONTH(A207)</f>
        <v>7</v>
      </c>
      <c r="H207" t="str">
        <f>"T"&amp;ROUNDUP(G207/3,0)</f>
        <v>T3</v>
      </c>
    </row>
    <row r="208" spans="1:8">
      <c r="A208" s="10">
        <v>45856</v>
      </c>
      <c r="B208">
        <v>207</v>
      </c>
      <c r="C208">
        <v>705</v>
      </c>
      <c r="D208" t="s">
        <v>123</v>
      </c>
      <c r="E208" s="9">
        <v>1286.41</v>
      </c>
      <c r="F208" t="str">
        <f>VLOOKUP(C208,'Plan contable'!$A$2:$C$16,3,FALSE)</f>
        <v>Importe neto de la cifra de negocios</v>
      </c>
      <c r="G208">
        <f>MONTH(A208)</f>
        <v>7</v>
      </c>
      <c r="H208" t="str">
        <f>"T"&amp;ROUNDUP(G208/3,0)</f>
        <v>T3</v>
      </c>
    </row>
    <row r="209" spans="1:8">
      <c r="A209" s="10">
        <v>45859</v>
      </c>
      <c r="B209">
        <v>208</v>
      </c>
      <c r="C209">
        <v>607</v>
      </c>
      <c r="D209" t="s">
        <v>120</v>
      </c>
      <c r="E209" s="9">
        <v>978.63</v>
      </c>
      <c r="F209" t="str">
        <f>VLOOKUP(C209,'Plan contable'!$A$2:$C$16,3,FALSE)</f>
        <v>Aprovisionamientos</v>
      </c>
      <c r="G209">
        <f>MONTH(A209)</f>
        <v>7</v>
      </c>
      <c r="H209" t="str">
        <f>"T"&amp;ROUNDUP(G209/3,0)</f>
        <v>T3</v>
      </c>
    </row>
    <row r="210" spans="1:8">
      <c r="A210" s="10">
        <v>45859</v>
      </c>
      <c r="B210">
        <v>209</v>
      </c>
      <c r="C210">
        <v>700</v>
      </c>
      <c r="D210" t="s">
        <v>121</v>
      </c>
      <c r="E210" s="9">
        <v>3001.65</v>
      </c>
      <c r="F210" t="str">
        <f>VLOOKUP(C210,'Plan contable'!$A$2:$C$16,3,FALSE)</f>
        <v>Importe neto de la cifra de negocios</v>
      </c>
      <c r="G210">
        <f>MONTH(A210)</f>
        <v>7</v>
      </c>
      <c r="H210" t="str">
        <f>"T"&amp;ROUNDUP(G210/3,0)</f>
        <v>T3</v>
      </c>
    </row>
    <row r="211" spans="1:8">
      <c r="A211" s="10">
        <v>45860</v>
      </c>
      <c r="B211">
        <v>210</v>
      </c>
      <c r="C211">
        <v>600</v>
      </c>
      <c r="D211" t="s">
        <v>122</v>
      </c>
      <c r="E211" s="9">
        <v>1414.29</v>
      </c>
      <c r="F211" t="str">
        <f>VLOOKUP(C211,'Plan contable'!$A$2:$C$16,3,FALSE)</f>
        <v>Aprovisionamientos</v>
      </c>
      <c r="G211">
        <f>MONTH(A211)</f>
        <v>7</v>
      </c>
      <c r="H211" t="str">
        <f>"T"&amp;ROUNDUP(G211/3,0)</f>
        <v>T3</v>
      </c>
    </row>
    <row r="212" spans="1:8">
      <c r="A212" s="10">
        <v>45860</v>
      </c>
      <c r="B212">
        <v>211</v>
      </c>
      <c r="C212">
        <v>628</v>
      </c>
      <c r="D212" t="s">
        <v>132</v>
      </c>
      <c r="E212" s="9">
        <v>262.2</v>
      </c>
      <c r="F212" t="str">
        <f>VLOOKUP(C212,'Plan contable'!$A$2:$C$16,3,FALSE)</f>
        <v>Otros gastos de explotación</v>
      </c>
      <c r="G212">
        <f>MONTH(A212)</f>
        <v>7</v>
      </c>
      <c r="H212" t="str">
        <f>"T"&amp;ROUNDUP(G212/3,0)</f>
        <v>T3</v>
      </c>
    </row>
    <row r="213" spans="1:8">
      <c r="A213" s="10">
        <v>45860</v>
      </c>
      <c r="B213">
        <v>212</v>
      </c>
      <c r="C213">
        <v>700</v>
      </c>
      <c r="D213" t="s">
        <v>121</v>
      </c>
      <c r="E213" s="9">
        <v>2324.76</v>
      </c>
      <c r="F213" t="str">
        <f>VLOOKUP(C213,'Plan contable'!$A$2:$C$16,3,FALSE)</f>
        <v>Importe neto de la cifra de negocios</v>
      </c>
      <c r="G213">
        <f>MONTH(A213)</f>
        <v>7</v>
      </c>
      <c r="H213" t="str">
        <f>"T"&amp;ROUNDUP(G213/3,0)</f>
        <v>T3</v>
      </c>
    </row>
    <row r="214" spans="1:8">
      <c r="A214" s="10">
        <v>45861</v>
      </c>
      <c r="B214">
        <v>213</v>
      </c>
      <c r="C214">
        <v>627</v>
      </c>
      <c r="D214" t="s">
        <v>133</v>
      </c>
      <c r="E214" s="9">
        <v>192.51</v>
      </c>
      <c r="F214" t="str">
        <f>VLOOKUP(C214,'Plan contable'!$A$2:$C$16,3,FALSE)</f>
        <v>Otros gastos de explotación</v>
      </c>
      <c r="G214">
        <f>MONTH(A214)</f>
        <v>7</v>
      </c>
      <c r="H214" t="str">
        <f>"T"&amp;ROUNDUP(G214/3,0)</f>
        <v>T3</v>
      </c>
    </row>
    <row r="215" spans="1:8">
      <c r="A215" s="10">
        <v>45862</v>
      </c>
      <c r="B215">
        <v>214</v>
      </c>
      <c r="C215">
        <v>662</v>
      </c>
      <c r="D215" t="s">
        <v>134</v>
      </c>
      <c r="E215" s="9">
        <v>524.67</v>
      </c>
      <c r="F215" t="str">
        <f>VLOOKUP(C215,'Plan contable'!$A$2:$C$16,3,FALSE)</f>
        <v>Gastos financieros</v>
      </c>
      <c r="G215">
        <f>MONTH(A215)</f>
        <v>7</v>
      </c>
      <c r="H215" t="str">
        <f>"T"&amp;ROUNDUP(G215/3,0)</f>
        <v>T3</v>
      </c>
    </row>
    <row r="216" spans="1:8">
      <c r="A216" s="10">
        <v>45862</v>
      </c>
      <c r="B216">
        <v>215</v>
      </c>
      <c r="C216">
        <v>705</v>
      </c>
      <c r="D216" t="s">
        <v>123</v>
      </c>
      <c r="E216" s="9">
        <v>679.58</v>
      </c>
      <c r="F216" t="str">
        <f>VLOOKUP(C216,'Plan contable'!$A$2:$C$16,3,FALSE)</f>
        <v>Importe neto de la cifra de negocios</v>
      </c>
      <c r="G216">
        <f>MONTH(A216)</f>
        <v>7</v>
      </c>
      <c r="H216" t="str">
        <f>"T"&amp;ROUNDUP(G216/3,0)</f>
        <v>T3</v>
      </c>
    </row>
    <row r="217" spans="1:8">
      <c r="A217" s="10">
        <v>45864</v>
      </c>
      <c r="B217">
        <v>216</v>
      </c>
      <c r="C217">
        <v>629</v>
      </c>
      <c r="D217" t="s">
        <v>129</v>
      </c>
      <c r="E217" s="9">
        <v>123.96</v>
      </c>
      <c r="F217" t="str">
        <f>VLOOKUP(C217,'Plan contable'!$A$2:$C$16,3,FALSE)</f>
        <v>Otros gastos de explotación</v>
      </c>
      <c r="G217">
        <f>MONTH(A217)</f>
        <v>7</v>
      </c>
      <c r="H217" t="str">
        <f>"T"&amp;ROUNDUP(G217/3,0)</f>
        <v>T3</v>
      </c>
    </row>
    <row r="218" spans="1:8">
      <c r="A218" s="10">
        <v>45864</v>
      </c>
      <c r="B218">
        <v>217</v>
      </c>
      <c r="C218">
        <v>700</v>
      </c>
      <c r="D218" t="s">
        <v>121</v>
      </c>
      <c r="E218" s="9">
        <v>3787.01</v>
      </c>
      <c r="F218" t="str">
        <f>VLOOKUP(C218,'Plan contable'!$A$2:$C$16,3,FALSE)</f>
        <v>Importe neto de la cifra de negocios</v>
      </c>
      <c r="G218">
        <f>MONTH(A218)</f>
        <v>7</v>
      </c>
      <c r="H218" t="str">
        <f>"T"&amp;ROUNDUP(G218/3,0)</f>
        <v>T3</v>
      </c>
    </row>
    <row r="219" spans="1:8">
      <c r="A219" s="10">
        <v>45870</v>
      </c>
      <c r="B219">
        <v>218</v>
      </c>
      <c r="C219">
        <v>600</v>
      </c>
      <c r="D219" t="s">
        <v>135</v>
      </c>
      <c r="E219" s="9">
        <v>1703.91</v>
      </c>
      <c r="F219" t="str">
        <f>VLOOKUP(C219,'Plan contable'!$A$2:$C$16,3,FALSE)</f>
        <v>Aprovisionamientos</v>
      </c>
      <c r="G219">
        <f>MONTH(A219)</f>
        <v>8</v>
      </c>
      <c r="H219" t="str">
        <f>"T"&amp;ROUNDUP(G219/3,0)</f>
        <v>T3</v>
      </c>
    </row>
    <row r="220" spans="1:8">
      <c r="A220" s="10">
        <v>45870</v>
      </c>
      <c r="B220">
        <v>219</v>
      </c>
      <c r="C220">
        <v>600</v>
      </c>
      <c r="D220" t="s">
        <v>135</v>
      </c>
      <c r="E220" s="9">
        <v>1323.17</v>
      </c>
      <c r="F220" t="str">
        <f>VLOOKUP(C220,'Plan contable'!$A$2:$C$16,3,FALSE)</f>
        <v>Aprovisionamientos</v>
      </c>
      <c r="G220">
        <f>MONTH(A220)</f>
        <v>8</v>
      </c>
      <c r="H220" t="str">
        <f>"T"&amp;ROUNDUP(G220/3,0)</f>
        <v>T3</v>
      </c>
    </row>
    <row r="221" spans="1:8">
      <c r="A221" s="10">
        <v>45871</v>
      </c>
      <c r="B221">
        <v>220</v>
      </c>
      <c r="C221">
        <v>700</v>
      </c>
      <c r="D221" t="s">
        <v>136</v>
      </c>
      <c r="E221" s="9">
        <v>3240.15</v>
      </c>
      <c r="F221" t="str">
        <f>VLOOKUP(C221,'Plan contable'!$A$2:$C$16,3,FALSE)</f>
        <v>Importe neto de la cifra de negocios</v>
      </c>
      <c r="G221">
        <f>MONTH(A221)</f>
        <v>8</v>
      </c>
      <c r="H221" t="str">
        <f>"T"&amp;ROUNDUP(G221/3,0)</f>
        <v>T3</v>
      </c>
    </row>
    <row r="222" spans="1:8">
      <c r="A222" s="10">
        <v>45873</v>
      </c>
      <c r="B222">
        <v>221</v>
      </c>
      <c r="C222">
        <v>629</v>
      </c>
      <c r="D222" t="s">
        <v>137</v>
      </c>
      <c r="E222" s="9">
        <v>54.73</v>
      </c>
      <c r="F222" t="str">
        <f>VLOOKUP(C222,'Plan contable'!$A$2:$C$16,3,FALSE)</f>
        <v>Otros gastos de explotación</v>
      </c>
      <c r="G222">
        <f>MONTH(A222)</f>
        <v>8</v>
      </c>
      <c r="H222" t="str">
        <f>"T"&amp;ROUNDUP(G222/3,0)</f>
        <v>T3</v>
      </c>
    </row>
    <row r="223" spans="1:8">
      <c r="A223" s="10">
        <v>45875</v>
      </c>
      <c r="B223">
        <v>222</v>
      </c>
      <c r="C223">
        <v>622</v>
      </c>
      <c r="D223" t="s">
        <v>138</v>
      </c>
      <c r="E223" s="9">
        <v>846.53</v>
      </c>
      <c r="F223" t="str">
        <f>VLOOKUP(C223,'Plan contable'!$A$2:$C$16,3,FALSE)</f>
        <v>Otros gastos de explotación</v>
      </c>
      <c r="G223">
        <f>MONTH(A223)</f>
        <v>8</v>
      </c>
      <c r="H223" t="str">
        <f>"T"&amp;ROUNDUP(G223/3,0)</f>
        <v>T3</v>
      </c>
    </row>
    <row r="224" spans="1:8">
      <c r="A224" s="10">
        <v>45875</v>
      </c>
      <c r="B224">
        <v>223</v>
      </c>
      <c r="C224">
        <v>628</v>
      </c>
      <c r="D224" t="s">
        <v>139</v>
      </c>
      <c r="E224" s="9">
        <v>264.62</v>
      </c>
      <c r="F224" t="str">
        <f>VLOOKUP(C224,'Plan contable'!$A$2:$C$16,3,FALSE)</f>
        <v>Otros gastos de explotación</v>
      </c>
      <c r="G224">
        <f>MONTH(A224)</f>
        <v>8</v>
      </c>
      <c r="H224" t="str">
        <f>"T"&amp;ROUNDUP(G224/3,0)</f>
        <v>T3</v>
      </c>
    </row>
    <row r="225" spans="1:8">
      <c r="A225" s="10">
        <v>45875</v>
      </c>
      <c r="B225">
        <v>224</v>
      </c>
      <c r="C225">
        <v>628</v>
      </c>
      <c r="D225" t="s">
        <v>139</v>
      </c>
      <c r="E225" s="9">
        <v>174.8</v>
      </c>
      <c r="F225" t="str">
        <f>VLOOKUP(C225,'Plan contable'!$A$2:$C$16,3,FALSE)</f>
        <v>Otros gastos de explotación</v>
      </c>
      <c r="G225">
        <f>MONTH(A225)</f>
        <v>8</v>
      </c>
      <c r="H225" t="str">
        <f>"T"&amp;ROUNDUP(G225/3,0)</f>
        <v>T3</v>
      </c>
    </row>
    <row r="226" spans="1:8">
      <c r="A226" s="10">
        <v>45876</v>
      </c>
      <c r="B226">
        <v>225</v>
      </c>
      <c r="C226">
        <v>642</v>
      </c>
      <c r="D226" t="s">
        <v>140</v>
      </c>
      <c r="E226" s="9">
        <v>4650</v>
      </c>
      <c r="F226" t="str">
        <f>VLOOKUP(C226,'Plan contable'!$A$2:$C$16,3,FALSE)</f>
        <v>Gastos de personal</v>
      </c>
      <c r="G226">
        <f>MONTH(A226)</f>
        <v>8</v>
      </c>
      <c r="H226" t="str">
        <f>"T"&amp;ROUNDUP(G226/3,0)</f>
        <v>T3</v>
      </c>
    </row>
    <row r="227" spans="1:8">
      <c r="A227" s="10">
        <v>45877</v>
      </c>
      <c r="B227">
        <v>226</v>
      </c>
      <c r="C227">
        <v>705</v>
      </c>
      <c r="D227" t="s">
        <v>141</v>
      </c>
      <c r="E227" s="9">
        <v>1612.25</v>
      </c>
      <c r="F227" t="str">
        <f>VLOOKUP(C227,'Plan contable'!$A$2:$C$16,3,FALSE)</f>
        <v>Importe neto de la cifra de negocios</v>
      </c>
      <c r="G227">
        <f>MONTH(A227)</f>
        <v>8</v>
      </c>
      <c r="H227" t="str">
        <f>"T"&amp;ROUNDUP(G227/3,0)</f>
        <v>T3</v>
      </c>
    </row>
    <row r="228" spans="1:8">
      <c r="A228" s="10">
        <v>45878</v>
      </c>
      <c r="B228">
        <v>227</v>
      </c>
      <c r="C228">
        <v>662</v>
      </c>
      <c r="D228" t="s">
        <v>142</v>
      </c>
      <c r="E228" s="9">
        <v>386.78</v>
      </c>
      <c r="F228" t="str">
        <f>VLOOKUP(C228,'Plan contable'!$A$2:$C$16,3,FALSE)</f>
        <v>Gastos financieros</v>
      </c>
      <c r="G228">
        <f>MONTH(A228)</f>
        <v>8</v>
      </c>
      <c r="H228" t="str">
        <f>"T"&amp;ROUNDUP(G228/3,0)</f>
        <v>T3</v>
      </c>
    </row>
    <row r="229" spans="1:8">
      <c r="A229" s="10">
        <v>45880</v>
      </c>
      <c r="B229">
        <v>228</v>
      </c>
      <c r="C229">
        <v>627</v>
      </c>
      <c r="D229" t="s">
        <v>143</v>
      </c>
      <c r="E229" s="9">
        <v>544.14</v>
      </c>
      <c r="F229" t="str">
        <f>VLOOKUP(C229,'Plan contable'!$A$2:$C$16,3,FALSE)</f>
        <v>Otros gastos de explotación</v>
      </c>
      <c r="G229">
        <f>MONTH(A229)</f>
        <v>8</v>
      </c>
      <c r="H229" t="str">
        <f>"T"&amp;ROUNDUP(G229/3,0)</f>
        <v>T3</v>
      </c>
    </row>
    <row r="230" spans="1:8">
      <c r="A230" s="10">
        <v>45880</v>
      </c>
      <c r="B230">
        <v>229</v>
      </c>
      <c r="C230">
        <v>700</v>
      </c>
      <c r="D230" t="s">
        <v>136</v>
      </c>
      <c r="E230" s="9">
        <v>4198.38</v>
      </c>
      <c r="F230" t="str">
        <f>VLOOKUP(C230,'Plan contable'!$A$2:$C$16,3,FALSE)</f>
        <v>Importe neto de la cifra de negocios</v>
      </c>
      <c r="G230">
        <f>MONTH(A230)</f>
        <v>8</v>
      </c>
      <c r="H230" t="str">
        <f>"T"&amp;ROUNDUP(G230/3,0)</f>
        <v>T3</v>
      </c>
    </row>
    <row r="231" spans="1:8">
      <c r="A231" s="10">
        <v>45881</v>
      </c>
      <c r="B231">
        <v>230</v>
      </c>
      <c r="C231">
        <v>607</v>
      </c>
      <c r="D231" t="s">
        <v>144</v>
      </c>
      <c r="E231" s="9">
        <v>850.14</v>
      </c>
      <c r="F231" t="str">
        <f>VLOOKUP(C231,'Plan contable'!$A$2:$C$16,3,FALSE)</f>
        <v>Aprovisionamientos</v>
      </c>
      <c r="G231">
        <f>MONTH(A231)</f>
        <v>8</v>
      </c>
      <c r="H231" t="str">
        <f>"T"&amp;ROUNDUP(G231/3,0)</f>
        <v>T3</v>
      </c>
    </row>
    <row r="232" spans="1:8">
      <c r="A232" s="10">
        <v>45881</v>
      </c>
      <c r="B232">
        <v>231</v>
      </c>
      <c r="C232">
        <v>700</v>
      </c>
      <c r="D232" t="s">
        <v>136</v>
      </c>
      <c r="E232" s="9">
        <v>1698.05</v>
      </c>
      <c r="F232" t="str">
        <f>VLOOKUP(C232,'Plan contable'!$A$2:$C$16,3,FALSE)</f>
        <v>Importe neto de la cifra de negocios</v>
      </c>
      <c r="G232">
        <f>MONTH(A232)</f>
        <v>8</v>
      </c>
      <c r="H232" t="str">
        <f>"T"&amp;ROUNDUP(G232/3,0)</f>
        <v>T3</v>
      </c>
    </row>
    <row r="233" spans="1:8">
      <c r="A233" s="10">
        <v>45882</v>
      </c>
      <c r="B233">
        <v>232</v>
      </c>
      <c r="C233">
        <v>600</v>
      </c>
      <c r="D233" t="s">
        <v>135</v>
      </c>
      <c r="E233" s="9">
        <v>1418.13</v>
      </c>
      <c r="F233" t="str">
        <f>VLOOKUP(C233,'Plan contable'!$A$2:$C$16,3,FALSE)</f>
        <v>Aprovisionamientos</v>
      </c>
      <c r="G233">
        <f>MONTH(A233)</f>
        <v>8</v>
      </c>
      <c r="H233" t="str">
        <f>"T"&amp;ROUNDUP(G233/3,0)</f>
        <v>T3</v>
      </c>
    </row>
    <row r="234" spans="1:8">
      <c r="A234" s="10">
        <v>45882</v>
      </c>
      <c r="B234">
        <v>233</v>
      </c>
      <c r="C234">
        <v>607</v>
      </c>
      <c r="D234" t="s">
        <v>144</v>
      </c>
      <c r="E234" s="9">
        <v>645.58</v>
      </c>
      <c r="F234" t="str">
        <f>VLOOKUP(C234,'Plan contable'!$A$2:$C$16,3,FALSE)</f>
        <v>Aprovisionamientos</v>
      </c>
      <c r="G234">
        <f>MONTH(A234)</f>
        <v>8</v>
      </c>
      <c r="H234" t="str">
        <f>"T"&amp;ROUNDUP(G234/3,0)</f>
        <v>T3</v>
      </c>
    </row>
    <row r="235" spans="1:8">
      <c r="A235" s="10">
        <v>45883</v>
      </c>
      <c r="B235">
        <v>234</v>
      </c>
      <c r="C235">
        <v>629</v>
      </c>
      <c r="D235" t="s">
        <v>137</v>
      </c>
      <c r="E235" s="9">
        <v>156.36</v>
      </c>
      <c r="F235" t="str">
        <f>VLOOKUP(C235,'Plan contable'!$A$2:$C$16,3,FALSE)</f>
        <v>Otros gastos de explotación</v>
      </c>
      <c r="G235">
        <f>MONTH(A235)</f>
        <v>8</v>
      </c>
      <c r="H235" t="str">
        <f>"T"&amp;ROUNDUP(G235/3,0)</f>
        <v>T3</v>
      </c>
    </row>
    <row r="236" spans="1:8">
      <c r="A236" s="10">
        <v>45883</v>
      </c>
      <c r="B236">
        <v>235</v>
      </c>
      <c r="C236">
        <v>700</v>
      </c>
      <c r="D236" t="s">
        <v>136</v>
      </c>
      <c r="E236" s="9">
        <v>3274.44</v>
      </c>
      <c r="F236" t="str">
        <f>VLOOKUP(C236,'Plan contable'!$A$2:$C$16,3,FALSE)</f>
        <v>Importe neto de la cifra de negocios</v>
      </c>
      <c r="G236">
        <f>MONTH(A236)</f>
        <v>8</v>
      </c>
      <c r="H236" t="str">
        <f>"T"&amp;ROUNDUP(G236/3,0)</f>
        <v>T3</v>
      </c>
    </row>
    <row r="237" spans="1:8">
      <c r="A237" s="10">
        <v>45883</v>
      </c>
      <c r="B237">
        <v>236</v>
      </c>
      <c r="C237">
        <v>705</v>
      </c>
      <c r="D237" t="s">
        <v>141</v>
      </c>
      <c r="E237" s="9">
        <v>842.91</v>
      </c>
      <c r="F237" t="str">
        <f>VLOOKUP(C237,'Plan contable'!$A$2:$C$16,3,FALSE)</f>
        <v>Importe neto de la cifra de negocios</v>
      </c>
      <c r="G237">
        <f>MONTH(A237)</f>
        <v>8</v>
      </c>
      <c r="H237" t="str">
        <f>"T"&amp;ROUNDUP(G237/3,0)</f>
        <v>T3</v>
      </c>
    </row>
    <row r="238" spans="1:8">
      <c r="A238" s="10">
        <v>45884</v>
      </c>
      <c r="B238">
        <v>237</v>
      </c>
      <c r="C238">
        <v>600</v>
      </c>
      <c r="D238" t="s">
        <v>135</v>
      </c>
      <c r="E238" s="9">
        <v>2124.52</v>
      </c>
      <c r="F238" t="str">
        <f>VLOOKUP(C238,'Plan contable'!$A$2:$C$16,3,FALSE)</f>
        <v>Aprovisionamientos</v>
      </c>
      <c r="G238">
        <f>MONTH(A238)</f>
        <v>8</v>
      </c>
      <c r="H238" t="str">
        <f>"T"&amp;ROUNDUP(G238/3,0)</f>
        <v>T3</v>
      </c>
    </row>
    <row r="239" spans="1:8">
      <c r="A239" s="10">
        <v>45884</v>
      </c>
      <c r="B239">
        <v>238</v>
      </c>
      <c r="C239">
        <v>625</v>
      </c>
      <c r="D239" t="s">
        <v>145</v>
      </c>
      <c r="E239" s="9">
        <v>180</v>
      </c>
      <c r="F239" t="str">
        <f>VLOOKUP(C239,'Plan contable'!$A$2:$C$16,3,FALSE)</f>
        <v>Otros gastos de explotación</v>
      </c>
      <c r="G239">
        <f>MONTH(A239)</f>
        <v>8</v>
      </c>
      <c r="H239" t="str">
        <f>"T"&amp;ROUNDUP(G239/3,0)</f>
        <v>T3</v>
      </c>
    </row>
    <row r="240" spans="1:8">
      <c r="A240" s="10">
        <v>45887</v>
      </c>
      <c r="B240">
        <v>239</v>
      </c>
      <c r="C240">
        <v>600</v>
      </c>
      <c r="D240" t="s">
        <v>135</v>
      </c>
      <c r="E240" s="9">
        <v>716.78</v>
      </c>
      <c r="F240" t="str">
        <f>VLOOKUP(C240,'Plan contable'!$A$2:$C$16,3,FALSE)</f>
        <v>Aprovisionamientos</v>
      </c>
      <c r="G240">
        <f>MONTH(A240)</f>
        <v>8</v>
      </c>
      <c r="H240" t="str">
        <f>"T"&amp;ROUNDUP(G240/3,0)</f>
        <v>T3</v>
      </c>
    </row>
    <row r="241" spans="1:8">
      <c r="A241" s="10">
        <v>45887</v>
      </c>
      <c r="B241">
        <v>240</v>
      </c>
      <c r="C241">
        <v>705</v>
      </c>
      <c r="D241" t="s">
        <v>141</v>
      </c>
      <c r="E241" s="9">
        <v>855.46</v>
      </c>
      <c r="F241" t="str">
        <f>VLOOKUP(C241,'Plan contable'!$A$2:$C$16,3,FALSE)</f>
        <v>Importe neto de la cifra de negocios</v>
      </c>
      <c r="G241">
        <f>MONTH(A241)</f>
        <v>8</v>
      </c>
      <c r="H241" t="str">
        <f>"T"&amp;ROUNDUP(G241/3,0)</f>
        <v>T3</v>
      </c>
    </row>
    <row r="242" spans="1:8">
      <c r="A242" s="10">
        <v>45888</v>
      </c>
      <c r="B242">
        <v>241</v>
      </c>
      <c r="C242">
        <v>705</v>
      </c>
      <c r="D242" t="s">
        <v>141</v>
      </c>
      <c r="E242" s="9">
        <v>946.77</v>
      </c>
      <c r="F242" t="str">
        <f>VLOOKUP(C242,'Plan contable'!$A$2:$C$16,3,FALSE)</f>
        <v>Importe neto de la cifra de negocios</v>
      </c>
      <c r="G242">
        <f>MONTH(A242)</f>
        <v>8</v>
      </c>
      <c r="H242" t="str">
        <f>"T"&amp;ROUNDUP(G242/3,0)</f>
        <v>T3</v>
      </c>
    </row>
    <row r="243" spans="1:8">
      <c r="A243" s="10">
        <v>45889</v>
      </c>
      <c r="B243">
        <v>242</v>
      </c>
      <c r="C243">
        <v>621</v>
      </c>
      <c r="D243" t="s">
        <v>146</v>
      </c>
      <c r="E243" s="9">
        <v>1800</v>
      </c>
      <c r="F243" t="str">
        <f>VLOOKUP(C243,'Plan contable'!$A$2:$C$16,3,FALSE)</f>
        <v>Otros gastos de explotación</v>
      </c>
      <c r="G243">
        <f>MONTH(A243)</f>
        <v>8</v>
      </c>
      <c r="H243" t="str">
        <f>"T"&amp;ROUNDUP(G243/3,0)</f>
        <v>T3</v>
      </c>
    </row>
    <row r="244" spans="1:8">
      <c r="A244" s="10">
        <v>45890</v>
      </c>
      <c r="B244">
        <v>243</v>
      </c>
      <c r="C244">
        <v>623</v>
      </c>
      <c r="D244" t="s">
        <v>147</v>
      </c>
      <c r="E244" s="9">
        <v>288.38</v>
      </c>
      <c r="F244" t="str">
        <f>VLOOKUP(C244,'Plan contable'!$A$2:$C$16,3,FALSE)</f>
        <v>Otros gastos de explotación</v>
      </c>
      <c r="G244">
        <f>MONTH(A244)</f>
        <v>8</v>
      </c>
      <c r="H244" t="str">
        <f>"T"&amp;ROUNDUP(G244/3,0)</f>
        <v>T3</v>
      </c>
    </row>
    <row r="245" spans="1:8">
      <c r="A245" s="10">
        <v>45893</v>
      </c>
      <c r="B245">
        <v>244</v>
      </c>
      <c r="C245">
        <v>705</v>
      </c>
      <c r="D245" t="s">
        <v>141</v>
      </c>
      <c r="E245" s="9">
        <v>1677.05</v>
      </c>
      <c r="F245" t="str">
        <f>VLOOKUP(C245,'Plan contable'!$A$2:$C$16,3,FALSE)</f>
        <v>Importe neto de la cifra de negocios</v>
      </c>
      <c r="G245">
        <f>MONTH(A245)</f>
        <v>8</v>
      </c>
      <c r="H245" t="str">
        <f>"T"&amp;ROUNDUP(G245/3,0)</f>
        <v>T3</v>
      </c>
    </row>
    <row r="246" spans="1:8">
      <c r="A246" s="10">
        <v>45894</v>
      </c>
      <c r="B246">
        <v>245</v>
      </c>
      <c r="C246">
        <v>700</v>
      </c>
      <c r="D246" t="s">
        <v>136</v>
      </c>
      <c r="E246" s="9">
        <v>3575.04</v>
      </c>
      <c r="F246" t="str">
        <f>VLOOKUP(C246,'Plan contable'!$A$2:$C$16,3,FALSE)</f>
        <v>Importe neto de la cifra de negocios</v>
      </c>
      <c r="G246">
        <f>MONTH(A246)</f>
        <v>8</v>
      </c>
      <c r="H246" t="str">
        <f>"T"&amp;ROUNDUP(G246/3,0)</f>
        <v>T3</v>
      </c>
    </row>
    <row r="247" spans="1:8">
      <c r="A247" s="10">
        <v>45895</v>
      </c>
      <c r="B247">
        <v>246</v>
      </c>
      <c r="C247">
        <v>681</v>
      </c>
      <c r="D247" t="s">
        <v>148</v>
      </c>
      <c r="E247" s="9">
        <v>1250</v>
      </c>
      <c r="F247" t="str">
        <f>VLOOKUP(C247,'Plan contable'!$A$2:$C$16,3,FALSE)</f>
        <v>Amortización del inmovilizado</v>
      </c>
      <c r="G247">
        <f>MONTH(A247)</f>
        <v>8</v>
      </c>
      <c r="H247" t="str">
        <f>"T"&amp;ROUNDUP(G247/3,0)</f>
        <v>T3</v>
      </c>
    </row>
    <row r="248" spans="1:8">
      <c r="A248" s="10">
        <v>45896</v>
      </c>
      <c r="B248">
        <v>247</v>
      </c>
      <c r="C248">
        <v>700</v>
      </c>
      <c r="D248" t="s">
        <v>136</v>
      </c>
      <c r="E248" s="9">
        <v>3001.19</v>
      </c>
      <c r="F248" t="str">
        <f>VLOOKUP(C248,'Plan contable'!$A$2:$C$16,3,FALSE)</f>
        <v>Importe neto de la cifra de negocios</v>
      </c>
      <c r="G248">
        <f>MONTH(A248)</f>
        <v>8</v>
      </c>
      <c r="H248" t="str">
        <f>"T"&amp;ROUNDUP(G248/3,0)</f>
        <v>T3</v>
      </c>
    </row>
    <row r="249" spans="1:8">
      <c r="A249" s="10">
        <v>45897</v>
      </c>
      <c r="B249">
        <v>248</v>
      </c>
      <c r="C249">
        <v>640</v>
      </c>
      <c r="D249" t="s">
        <v>149</v>
      </c>
      <c r="E249" s="9">
        <v>14500</v>
      </c>
      <c r="F249" t="str">
        <f>VLOOKUP(C249,'Plan contable'!$A$2:$C$16,3,FALSE)</f>
        <v>Gastos de personal</v>
      </c>
      <c r="G249">
        <f>MONTH(A249)</f>
        <v>8</v>
      </c>
      <c r="H249" t="str">
        <f>"T"&amp;ROUNDUP(G249/3,0)</f>
        <v>T3</v>
      </c>
    </row>
    <row r="250" spans="1:8">
      <c r="A250" s="10">
        <v>45901</v>
      </c>
      <c r="B250">
        <v>249</v>
      </c>
      <c r="C250">
        <v>600</v>
      </c>
      <c r="D250" t="s">
        <v>150</v>
      </c>
      <c r="E250" s="9">
        <v>1927.16</v>
      </c>
      <c r="F250" t="str">
        <f>VLOOKUP(C250,'Plan contable'!$A$2:$C$16,3,FALSE)</f>
        <v>Aprovisionamientos</v>
      </c>
      <c r="G250">
        <f>MONTH(A250)</f>
        <v>9</v>
      </c>
      <c r="H250" t="str">
        <f>"T"&amp;ROUNDUP(G250/3,0)</f>
        <v>T3</v>
      </c>
    </row>
    <row r="251" spans="1:8">
      <c r="A251" s="10">
        <v>45901</v>
      </c>
      <c r="B251">
        <v>250</v>
      </c>
      <c r="C251">
        <v>705</v>
      </c>
      <c r="D251" t="s">
        <v>151</v>
      </c>
      <c r="E251" s="9">
        <v>1555.07</v>
      </c>
      <c r="F251" t="str">
        <f>VLOOKUP(C251,'Plan contable'!$A$2:$C$16,3,FALSE)</f>
        <v>Importe neto de la cifra de negocios</v>
      </c>
      <c r="G251">
        <f>MONTH(A251)</f>
        <v>9</v>
      </c>
      <c r="H251" t="str">
        <f>"T"&amp;ROUNDUP(G251/3,0)</f>
        <v>T3</v>
      </c>
    </row>
    <row r="252" spans="1:8">
      <c r="A252" s="10">
        <v>45903</v>
      </c>
      <c r="B252">
        <v>251</v>
      </c>
      <c r="C252">
        <v>700</v>
      </c>
      <c r="D252" t="s">
        <v>152</v>
      </c>
      <c r="E252" s="9">
        <v>3081.11</v>
      </c>
      <c r="F252" t="str">
        <f>VLOOKUP(C252,'Plan contable'!$A$2:$C$16,3,FALSE)</f>
        <v>Importe neto de la cifra de negocios</v>
      </c>
      <c r="G252">
        <f>MONTH(A252)</f>
        <v>9</v>
      </c>
      <c r="H252" t="str">
        <f>"T"&amp;ROUNDUP(G252/3,0)</f>
        <v>T3</v>
      </c>
    </row>
    <row r="253" spans="1:8">
      <c r="A253" s="10">
        <v>45903</v>
      </c>
      <c r="B253">
        <v>252</v>
      </c>
      <c r="C253">
        <v>700</v>
      </c>
      <c r="D253" t="s">
        <v>152</v>
      </c>
      <c r="E253" s="9">
        <v>3797.1</v>
      </c>
      <c r="F253" t="str">
        <f>VLOOKUP(C253,'Plan contable'!$A$2:$C$16,3,FALSE)</f>
        <v>Importe neto de la cifra de negocios</v>
      </c>
      <c r="G253">
        <f>MONTH(A253)</f>
        <v>9</v>
      </c>
      <c r="H253" t="str">
        <f>"T"&amp;ROUNDUP(G253/3,0)</f>
        <v>T3</v>
      </c>
    </row>
    <row r="254" spans="1:8">
      <c r="A254" s="10">
        <v>45904</v>
      </c>
      <c r="B254">
        <v>253</v>
      </c>
      <c r="C254">
        <v>600</v>
      </c>
      <c r="D254" t="s">
        <v>150</v>
      </c>
      <c r="E254" s="9">
        <v>1475.47</v>
      </c>
      <c r="F254" t="str">
        <f>VLOOKUP(C254,'Plan contable'!$A$2:$C$16,3,FALSE)</f>
        <v>Aprovisionamientos</v>
      </c>
      <c r="G254">
        <f>MONTH(A254)</f>
        <v>9</v>
      </c>
      <c r="H254" t="str">
        <f>"T"&amp;ROUNDUP(G254/3,0)</f>
        <v>T3</v>
      </c>
    </row>
    <row r="255" spans="1:8">
      <c r="A255" s="10">
        <v>45907</v>
      </c>
      <c r="B255">
        <v>254</v>
      </c>
      <c r="C255">
        <v>600</v>
      </c>
      <c r="D255" t="s">
        <v>150</v>
      </c>
      <c r="E255" s="9">
        <v>839.9</v>
      </c>
      <c r="F255" t="str">
        <f>VLOOKUP(C255,'Plan contable'!$A$2:$C$16,3,FALSE)</f>
        <v>Aprovisionamientos</v>
      </c>
      <c r="G255">
        <f>MONTH(A255)</f>
        <v>9</v>
      </c>
      <c r="H255" t="str">
        <f>"T"&amp;ROUNDUP(G255/3,0)</f>
        <v>T3</v>
      </c>
    </row>
    <row r="256" spans="1:8">
      <c r="A256" s="10">
        <v>45908</v>
      </c>
      <c r="B256">
        <v>255</v>
      </c>
      <c r="C256">
        <v>607</v>
      </c>
      <c r="D256" t="s">
        <v>153</v>
      </c>
      <c r="E256" s="9">
        <v>317.12</v>
      </c>
      <c r="F256" t="str">
        <f>VLOOKUP(C256,'Plan contable'!$A$2:$C$16,3,FALSE)</f>
        <v>Aprovisionamientos</v>
      </c>
      <c r="G256">
        <f>MONTH(A256)</f>
        <v>9</v>
      </c>
      <c r="H256" t="str">
        <f>"T"&amp;ROUNDUP(G256/3,0)</f>
        <v>T3</v>
      </c>
    </row>
    <row r="257" spans="1:8">
      <c r="A257" s="10">
        <v>45908</v>
      </c>
      <c r="B257">
        <v>256</v>
      </c>
      <c r="C257">
        <v>607</v>
      </c>
      <c r="D257" t="s">
        <v>153</v>
      </c>
      <c r="E257" s="9">
        <v>1203.02</v>
      </c>
      <c r="F257" t="str">
        <f>VLOOKUP(C257,'Plan contable'!$A$2:$C$16,3,FALSE)</f>
        <v>Aprovisionamientos</v>
      </c>
      <c r="G257">
        <f>MONTH(A257)</f>
        <v>9</v>
      </c>
      <c r="H257" t="str">
        <f>"T"&amp;ROUNDUP(G257/3,0)</f>
        <v>T3</v>
      </c>
    </row>
    <row r="258" spans="1:8">
      <c r="A258" s="10">
        <v>45908</v>
      </c>
      <c r="B258">
        <v>257</v>
      </c>
      <c r="C258">
        <v>621</v>
      </c>
      <c r="D258" t="s">
        <v>154</v>
      </c>
      <c r="E258" s="9">
        <v>1800</v>
      </c>
      <c r="F258" t="str">
        <f>VLOOKUP(C258,'Plan contable'!$A$2:$C$16,3,FALSE)</f>
        <v>Otros gastos de explotación</v>
      </c>
      <c r="G258">
        <f>MONTH(A258)</f>
        <v>9</v>
      </c>
      <c r="H258" t="str">
        <f>"T"&amp;ROUNDUP(G258/3,0)</f>
        <v>T3</v>
      </c>
    </row>
    <row r="259" spans="1:8">
      <c r="A259" s="10">
        <v>45908</v>
      </c>
      <c r="B259">
        <v>258</v>
      </c>
      <c r="C259">
        <v>628</v>
      </c>
      <c r="D259" t="s">
        <v>155</v>
      </c>
      <c r="E259" s="9">
        <v>370.14</v>
      </c>
      <c r="F259" t="str">
        <f>VLOOKUP(C259,'Plan contable'!$A$2:$C$16,3,FALSE)</f>
        <v>Otros gastos de explotación</v>
      </c>
      <c r="G259">
        <f>MONTH(A259)</f>
        <v>9</v>
      </c>
      <c r="H259" t="str">
        <f>"T"&amp;ROUNDUP(G259/3,0)</f>
        <v>T3</v>
      </c>
    </row>
    <row r="260" spans="1:8">
      <c r="A260" s="10">
        <v>45908</v>
      </c>
      <c r="B260">
        <v>259</v>
      </c>
      <c r="C260">
        <v>700</v>
      </c>
      <c r="D260" t="s">
        <v>152</v>
      </c>
      <c r="E260" s="9">
        <v>1901.82</v>
      </c>
      <c r="F260" t="str">
        <f>VLOOKUP(C260,'Plan contable'!$A$2:$C$16,3,FALSE)</f>
        <v>Importe neto de la cifra de negocios</v>
      </c>
      <c r="G260">
        <f>MONTH(A260)</f>
        <v>9</v>
      </c>
      <c r="H260" t="str">
        <f>"T"&amp;ROUNDUP(G260/3,0)</f>
        <v>T3</v>
      </c>
    </row>
    <row r="261" spans="1:8">
      <c r="A261" s="10">
        <v>45909</v>
      </c>
      <c r="B261">
        <v>260</v>
      </c>
      <c r="C261">
        <v>627</v>
      </c>
      <c r="D261" t="s">
        <v>156</v>
      </c>
      <c r="E261" s="9">
        <v>247.98</v>
      </c>
      <c r="F261" t="str">
        <f>VLOOKUP(C261,'Plan contable'!$A$2:$C$16,3,FALSE)</f>
        <v>Otros gastos de explotación</v>
      </c>
      <c r="G261">
        <f>MONTH(A261)</f>
        <v>9</v>
      </c>
      <c r="H261" t="str">
        <f>"T"&amp;ROUNDUP(G261/3,0)</f>
        <v>T3</v>
      </c>
    </row>
    <row r="262" spans="1:8">
      <c r="A262" s="10">
        <v>45909</v>
      </c>
      <c r="B262">
        <v>261</v>
      </c>
      <c r="C262">
        <v>642</v>
      </c>
      <c r="D262" t="s">
        <v>157</v>
      </c>
      <c r="E262" s="9">
        <v>4650</v>
      </c>
      <c r="F262" t="str">
        <f>VLOOKUP(C262,'Plan contable'!$A$2:$C$16,3,FALSE)</f>
        <v>Gastos de personal</v>
      </c>
      <c r="G262">
        <f>MONTH(A262)</f>
        <v>9</v>
      </c>
      <c r="H262" t="str">
        <f>"T"&amp;ROUNDUP(G262/3,0)</f>
        <v>T3</v>
      </c>
    </row>
    <row r="263" spans="1:8">
      <c r="A263" s="10">
        <v>45909</v>
      </c>
      <c r="B263">
        <v>262</v>
      </c>
      <c r="C263">
        <v>700</v>
      </c>
      <c r="D263" t="s">
        <v>152</v>
      </c>
      <c r="E263" s="9">
        <v>2540.86</v>
      </c>
      <c r="F263" t="str">
        <f>VLOOKUP(C263,'Plan contable'!$A$2:$C$16,3,FALSE)</f>
        <v>Importe neto de la cifra de negocios</v>
      </c>
      <c r="G263">
        <f>MONTH(A263)</f>
        <v>9</v>
      </c>
      <c r="H263" t="str">
        <f>"T"&amp;ROUNDUP(G263/3,0)</f>
        <v>T3</v>
      </c>
    </row>
    <row r="264" spans="1:8">
      <c r="A264" s="10">
        <v>45910</v>
      </c>
      <c r="B264">
        <v>263</v>
      </c>
      <c r="C264">
        <v>600</v>
      </c>
      <c r="D264" t="s">
        <v>150</v>
      </c>
      <c r="E264" s="9">
        <v>671.08</v>
      </c>
      <c r="F264" t="str">
        <f>VLOOKUP(C264,'Plan contable'!$A$2:$C$16,3,FALSE)</f>
        <v>Aprovisionamientos</v>
      </c>
      <c r="G264">
        <f>MONTH(A264)</f>
        <v>9</v>
      </c>
      <c r="H264" t="str">
        <f>"T"&amp;ROUNDUP(G264/3,0)</f>
        <v>T3</v>
      </c>
    </row>
    <row r="265" spans="1:8">
      <c r="A265" s="10">
        <v>45910</v>
      </c>
      <c r="B265">
        <v>264</v>
      </c>
      <c r="C265">
        <v>662</v>
      </c>
      <c r="D265" t="s">
        <v>158</v>
      </c>
      <c r="E265" s="9">
        <v>479</v>
      </c>
      <c r="F265" t="str">
        <f>VLOOKUP(C265,'Plan contable'!$A$2:$C$16,3,FALSE)</f>
        <v>Gastos financieros</v>
      </c>
      <c r="G265">
        <f>MONTH(A265)</f>
        <v>9</v>
      </c>
      <c r="H265" t="str">
        <f>"T"&amp;ROUNDUP(G265/3,0)</f>
        <v>T3</v>
      </c>
    </row>
    <row r="266" spans="1:8">
      <c r="A266" s="10">
        <v>45912</v>
      </c>
      <c r="B266">
        <v>265</v>
      </c>
      <c r="C266">
        <v>705</v>
      </c>
      <c r="D266" t="s">
        <v>151</v>
      </c>
      <c r="E266" s="9">
        <v>1458.58</v>
      </c>
      <c r="F266" t="str">
        <f>VLOOKUP(C266,'Plan contable'!$A$2:$C$16,3,FALSE)</f>
        <v>Importe neto de la cifra de negocios</v>
      </c>
      <c r="G266">
        <f>MONTH(A266)</f>
        <v>9</v>
      </c>
      <c r="H266" t="str">
        <f>"T"&amp;ROUNDUP(G266/3,0)</f>
        <v>T3</v>
      </c>
    </row>
    <row r="267" spans="1:8">
      <c r="A267" s="10">
        <v>45914</v>
      </c>
      <c r="B267">
        <v>266</v>
      </c>
      <c r="C267">
        <v>623</v>
      </c>
      <c r="D267" t="s">
        <v>159</v>
      </c>
      <c r="E267" s="9">
        <v>290.24</v>
      </c>
      <c r="F267" t="str">
        <f>VLOOKUP(C267,'Plan contable'!$A$2:$C$16,3,FALSE)</f>
        <v>Otros gastos de explotación</v>
      </c>
      <c r="G267">
        <f>MONTH(A267)</f>
        <v>9</v>
      </c>
      <c r="H267" t="str">
        <f>"T"&amp;ROUNDUP(G267/3,0)</f>
        <v>T3</v>
      </c>
    </row>
    <row r="268" spans="1:8">
      <c r="A268" s="10">
        <v>45914</v>
      </c>
      <c r="B268">
        <v>267</v>
      </c>
      <c r="C268">
        <v>640</v>
      </c>
      <c r="D268" t="s">
        <v>160</v>
      </c>
      <c r="E268" s="9">
        <v>14500</v>
      </c>
      <c r="F268" t="str">
        <f>VLOOKUP(C268,'Plan contable'!$A$2:$C$16,3,FALSE)</f>
        <v>Gastos de personal</v>
      </c>
      <c r="G268">
        <f>MONTH(A268)</f>
        <v>9</v>
      </c>
      <c r="H268" t="str">
        <f>"T"&amp;ROUNDUP(G268/3,0)</f>
        <v>T3</v>
      </c>
    </row>
    <row r="269" spans="1:8">
      <c r="A269" s="10">
        <v>45914</v>
      </c>
      <c r="B269">
        <v>268</v>
      </c>
      <c r="C269">
        <v>700</v>
      </c>
      <c r="D269" t="s">
        <v>152</v>
      </c>
      <c r="E269" s="9">
        <v>2606.61</v>
      </c>
      <c r="F269" t="str">
        <f>VLOOKUP(C269,'Plan contable'!$A$2:$C$16,3,FALSE)</f>
        <v>Importe neto de la cifra de negocios</v>
      </c>
      <c r="G269">
        <f>MONTH(A269)</f>
        <v>9</v>
      </c>
      <c r="H269" t="str">
        <f>"T"&amp;ROUNDUP(G269/3,0)</f>
        <v>T3</v>
      </c>
    </row>
    <row r="270" spans="1:8">
      <c r="A270" s="10">
        <v>45916</v>
      </c>
      <c r="B270">
        <v>269</v>
      </c>
      <c r="C270">
        <v>600</v>
      </c>
      <c r="D270" t="s">
        <v>150</v>
      </c>
      <c r="E270" s="9">
        <v>903.29</v>
      </c>
      <c r="F270" t="str">
        <f>VLOOKUP(C270,'Plan contable'!$A$2:$C$16,3,FALSE)</f>
        <v>Aprovisionamientos</v>
      </c>
      <c r="G270">
        <f>MONTH(A270)</f>
        <v>9</v>
      </c>
      <c r="H270" t="str">
        <f>"T"&amp;ROUNDUP(G270/3,0)</f>
        <v>T3</v>
      </c>
    </row>
    <row r="271" spans="1:8">
      <c r="A271" s="10">
        <v>45920</v>
      </c>
      <c r="B271">
        <v>270</v>
      </c>
      <c r="C271">
        <v>622</v>
      </c>
      <c r="D271" t="s">
        <v>161</v>
      </c>
      <c r="E271" s="9">
        <v>479.96</v>
      </c>
      <c r="F271" t="str">
        <f>VLOOKUP(C271,'Plan contable'!$A$2:$C$16,3,FALSE)</f>
        <v>Otros gastos de explotación</v>
      </c>
      <c r="G271">
        <f>MONTH(A271)</f>
        <v>9</v>
      </c>
      <c r="H271" t="str">
        <f>"T"&amp;ROUNDUP(G271/3,0)</f>
        <v>T3</v>
      </c>
    </row>
    <row r="272" spans="1:8">
      <c r="A272" s="10">
        <v>45920</v>
      </c>
      <c r="B272">
        <v>271</v>
      </c>
      <c r="C272">
        <v>681</v>
      </c>
      <c r="D272" t="s">
        <v>162</v>
      </c>
      <c r="E272" s="9">
        <v>1250</v>
      </c>
      <c r="F272" t="str">
        <f>VLOOKUP(C272,'Plan contable'!$A$2:$C$16,3,FALSE)</f>
        <v>Amortización del inmovilizado</v>
      </c>
      <c r="G272">
        <f>MONTH(A272)</f>
        <v>9</v>
      </c>
      <c r="H272" t="str">
        <f>"T"&amp;ROUNDUP(G272/3,0)</f>
        <v>T3</v>
      </c>
    </row>
    <row r="273" spans="1:8">
      <c r="A273" s="10">
        <v>45920</v>
      </c>
      <c r="B273">
        <v>272</v>
      </c>
      <c r="C273">
        <v>705</v>
      </c>
      <c r="D273" t="s">
        <v>151</v>
      </c>
      <c r="E273" s="9">
        <v>1649.57</v>
      </c>
      <c r="F273" t="str">
        <f>VLOOKUP(C273,'Plan contable'!$A$2:$C$16,3,FALSE)</f>
        <v>Importe neto de la cifra de negocios</v>
      </c>
      <c r="G273">
        <f>MONTH(A273)</f>
        <v>9</v>
      </c>
      <c r="H273" t="str">
        <f>"T"&amp;ROUNDUP(G273/3,0)</f>
        <v>T3</v>
      </c>
    </row>
    <row r="274" spans="1:8">
      <c r="A274" s="10">
        <v>45922</v>
      </c>
      <c r="B274">
        <v>273</v>
      </c>
      <c r="C274">
        <v>629</v>
      </c>
      <c r="D274" t="s">
        <v>163</v>
      </c>
      <c r="E274" s="9">
        <v>83.89</v>
      </c>
      <c r="F274" t="str">
        <f>VLOOKUP(C274,'Plan contable'!$A$2:$C$16,3,FALSE)</f>
        <v>Otros gastos de explotación</v>
      </c>
      <c r="G274">
        <f>MONTH(A274)</f>
        <v>9</v>
      </c>
      <c r="H274" t="str">
        <f>"T"&amp;ROUNDUP(G274/3,0)</f>
        <v>T3</v>
      </c>
    </row>
    <row r="275" spans="1:8">
      <c r="A275" s="10">
        <v>45922</v>
      </c>
      <c r="B275">
        <v>274</v>
      </c>
      <c r="C275">
        <v>700</v>
      </c>
      <c r="D275" t="s">
        <v>152</v>
      </c>
      <c r="E275" s="9">
        <v>2513.38</v>
      </c>
      <c r="F275" t="str">
        <f>VLOOKUP(C275,'Plan contable'!$A$2:$C$16,3,FALSE)</f>
        <v>Importe neto de la cifra de negocios</v>
      </c>
      <c r="G275">
        <f>MONTH(A275)</f>
        <v>9</v>
      </c>
      <c r="H275" t="str">
        <f>"T"&amp;ROUNDUP(G275/3,0)</f>
        <v>T3</v>
      </c>
    </row>
    <row r="276" spans="1:8">
      <c r="A276" s="10">
        <v>45923</v>
      </c>
      <c r="B276">
        <v>275</v>
      </c>
      <c r="C276">
        <v>629</v>
      </c>
      <c r="D276" t="s">
        <v>163</v>
      </c>
      <c r="E276" s="9">
        <v>198.79</v>
      </c>
      <c r="F276" t="str">
        <f>VLOOKUP(C276,'Plan contable'!$A$2:$C$16,3,FALSE)</f>
        <v>Otros gastos de explotación</v>
      </c>
      <c r="G276">
        <f>MONTH(A276)</f>
        <v>9</v>
      </c>
      <c r="H276" t="str">
        <f>"T"&amp;ROUNDUP(G276/3,0)</f>
        <v>T3</v>
      </c>
    </row>
    <row r="277" spans="1:8">
      <c r="A277" s="10">
        <v>45925</v>
      </c>
      <c r="B277">
        <v>276</v>
      </c>
      <c r="C277">
        <v>628</v>
      </c>
      <c r="D277" t="s">
        <v>155</v>
      </c>
      <c r="E277" s="9">
        <v>227.79</v>
      </c>
      <c r="F277" t="str">
        <f>VLOOKUP(C277,'Plan contable'!$A$2:$C$16,3,FALSE)</f>
        <v>Otros gastos de explotación</v>
      </c>
      <c r="G277">
        <f>MONTH(A277)</f>
        <v>9</v>
      </c>
      <c r="H277" t="str">
        <f>"T"&amp;ROUNDUP(G277/3,0)</f>
        <v>T3</v>
      </c>
    </row>
    <row r="278" spans="1:8">
      <c r="A278" s="10">
        <v>45925</v>
      </c>
      <c r="B278">
        <v>277</v>
      </c>
      <c r="C278">
        <v>705</v>
      </c>
      <c r="D278" t="s">
        <v>151</v>
      </c>
      <c r="E278" s="9">
        <v>864.98</v>
      </c>
      <c r="F278" t="str">
        <f>VLOOKUP(C278,'Plan contable'!$A$2:$C$16,3,FALSE)</f>
        <v>Importe neto de la cifra de negocios</v>
      </c>
      <c r="G278">
        <f>MONTH(A278)</f>
        <v>9</v>
      </c>
      <c r="H278" t="str">
        <f>"T"&amp;ROUNDUP(G278/3,0)</f>
        <v>T3</v>
      </c>
    </row>
    <row r="279" spans="1:8">
      <c r="A279" s="10">
        <v>45926</v>
      </c>
      <c r="B279">
        <v>278</v>
      </c>
      <c r="C279">
        <v>705</v>
      </c>
      <c r="D279" t="s">
        <v>151</v>
      </c>
      <c r="E279" s="9">
        <v>1097.81</v>
      </c>
      <c r="F279" t="str">
        <f>VLOOKUP(C279,'Plan contable'!$A$2:$C$16,3,FALSE)</f>
        <v>Importe neto de la cifra de negocios</v>
      </c>
      <c r="G279">
        <f>MONTH(A279)</f>
        <v>9</v>
      </c>
      <c r="H279" t="str">
        <f>"T"&amp;ROUNDUP(G279/3,0)</f>
        <v>T3</v>
      </c>
    </row>
    <row r="280" spans="1:8">
      <c r="A280" s="10">
        <v>45928</v>
      </c>
      <c r="B280">
        <v>279</v>
      </c>
      <c r="C280">
        <v>625</v>
      </c>
      <c r="D280" t="s">
        <v>164</v>
      </c>
      <c r="E280" s="9">
        <v>180</v>
      </c>
      <c r="F280" t="str">
        <f>VLOOKUP(C280,'Plan contable'!$A$2:$C$16,3,FALSE)</f>
        <v>Otros gastos de explotación</v>
      </c>
      <c r="G280">
        <f>MONTH(A280)</f>
        <v>9</v>
      </c>
      <c r="H280" t="str">
        <f>"T"&amp;ROUNDUP(G280/3,0)</f>
        <v>T3</v>
      </c>
    </row>
    <row r="281" spans="1:8">
      <c r="A281" s="10">
        <v>45931</v>
      </c>
      <c r="B281">
        <v>280</v>
      </c>
      <c r="C281">
        <v>628</v>
      </c>
      <c r="D281" t="s">
        <v>165</v>
      </c>
      <c r="E281" s="9">
        <v>166.89</v>
      </c>
      <c r="F281" t="str">
        <f>VLOOKUP(C281,'Plan contable'!$A$2:$C$16,3,FALSE)</f>
        <v>Otros gastos de explotación</v>
      </c>
      <c r="G281">
        <f>MONTH(A281)</f>
        <v>10</v>
      </c>
      <c r="H281" t="str">
        <f>"T"&amp;ROUNDUP(G281/3,0)</f>
        <v>T4</v>
      </c>
    </row>
    <row r="282" spans="1:8">
      <c r="A282" s="10">
        <v>45932</v>
      </c>
      <c r="B282">
        <v>281</v>
      </c>
      <c r="C282">
        <v>607</v>
      </c>
      <c r="D282" t="s">
        <v>166</v>
      </c>
      <c r="E282" s="9">
        <v>534.7</v>
      </c>
      <c r="F282" t="str">
        <f>VLOOKUP(C282,'Plan contable'!$A$2:$C$16,3,FALSE)</f>
        <v>Aprovisionamientos</v>
      </c>
      <c r="G282">
        <f>MONTH(A282)</f>
        <v>10</v>
      </c>
      <c r="H282" t="str">
        <f>"T"&amp;ROUNDUP(G282/3,0)</f>
        <v>T4</v>
      </c>
    </row>
    <row r="283" spans="1:8">
      <c r="A283" s="10">
        <v>45933</v>
      </c>
      <c r="B283">
        <v>282</v>
      </c>
      <c r="C283">
        <v>628</v>
      </c>
      <c r="D283" t="s">
        <v>165</v>
      </c>
      <c r="E283" s="9">
        <v>293.4</v>
      </c>
      <c r="F283" t="str">
        <f>VLOOKUP(C283,'Plan contable'!$A$2:$C$16,3,FALSE)</f>
        <v>Otros gastos de explotación</v>
      </c>
      <c r="G283">
        <f>MONTH(A283)</f>
        <v>10</v>
      </c>
      <c r="H283" t="str">
        <f>"T"&amp;ROUNDUP(G283/3,0)</f>
        <v>T4</v>
      </c>
    </row>
    <row r="284" spans="1:8">
      <c r="A284" s="10">
        <v>45933</v>
      </c>
      <c r="B284">
        <v>283</v>
      </c>
      <c r="C284">
        <v>640</v>
      </c>
      <c r="D284" t="s">
        <v>167</v>
      </c>
      <c r="E284" s="9">
        <v>14500</v>
      </c>
      <c r="F284" t="str">
        <f>VLOOKUP(C284,'Plan contable'!$A$2:$C$16,3,FALSE)</f>
        <v>Gastos de personal</v>
      </c>
      <c r="G284">
        <f>MONTH(A284)</f>
        <v>10</v>
      </c>
      <c r="H284" t="str">
        <f>"T"&amp;ROUNDUP(G284/3,0)</f>
        <v>T4</v>
      </c>
    </row>
    <row r="285" spans="1:8">
      <c r="A285" s="10">
        <v>45933</v>
      </c>
      <c r="B285">
        <v>284</v>
      </c>
      <c r="C285">
        <v>700</v>
      </c>
      <c r="D285" t="s">
        <v>168</v>
      </c>
      <c r="E285" s="9">
        <v>4140.3</v>
      </c>
      <c r="F285" t="str">
        <f>VLOOKUP(C285,'Plan contable'!$A$2:$C$16,3,FALSE)</f>
        <v>Importe neto de la cifra de negocios</v>
      </c>
      <c r="G285">
        <f>MONTH(A285)</f>
        <v>10</v>
      </c>
      <c r="H285" t="str">
        <f>"T"&amp;ROUNDUP(G285/3,0)</f>
        <v>T4</v>
      </c>
    </row>
    <row r="286" spans="1:8">
      <c r="A286" s="10">
        <v>45934</v>
      </c>
      <c r="B286">
        <v>285</v>
      </c>
      <c r="C286">
        <v>705</v>
      </c>
      <c r="D286" t="s">
        <v>169</v>
      </c>
      <c r="E286" s="9">
        <v>1043.57</v>
      </c>
      <c r="F286" t="str">
        <f>VLOOKUP(C286,'Plan contable'!$A$2:$C$16,3,FALSE)</f>
        <v>Importe neto de la cifra de negocios</v>
      </c>
      <c r="G286">
        <f>MONTH(A286)</f>
        <v>10</v>
      </c>
      <c r="H286" t="str">
        <f>"T"&amp;ROUNDUP(G286/3,0)</f>
        <v>T4</v>
      </c>
    </row>
    <row r="287" spans="1:8">
      <c r="A287" s="10">
        <v>45935</v>
      </c>
      <c r="B287">
        <v>286</v>
      </c>
      <c r="C287">
        <v>623</v>
      </c>
      <c r="D287" t="s">
        <v>170</v>
      </c>
      <c r="E287" s="9">
        <v>345.98</v>
      </c>
      <c r="F287" t="str">
        <f>VLOOKUP(C287,'Plan contable'!$A$2:$C$16,3,FALSE)</f>
        <v>Otros gastos de explotación</v>
      </c>
      <c r="G287">
        <f>MONTH(A287)</f>
        <v>10</v>
      </c>
      <c r="H287" t="str">
        <f>"T"&amp;ROUNDUP(G287/3,0)</f>
        <v>T4</v>
      </c>
    </row>
    <row r="288" spans="1:8">
      <c r="A288" s="10">
        <v>45935</v>
      </c>
      <c r="B288">
        <v>287</v>
      </c>
      <c r="C288">
        <v>700</v>
      </c>
      <c r="D288" t="s">
        <v>168</v>
      </c>
      <c r="E288" s="9">
        <v>1941.91</v>
      </c>
      <c r="F288" t="str">
        <f>VLOOKUP(C288,'Plan contable'!$A$2:$C$16,3,FALSE)</f>
        <v>Importe neto de la cifra de negocios</v>
      </c>
      <c r="G288">
        <f>MONTH(A288)</f>
        <v>10</v>
      </c>
      <c r="H288" t="str">
        <f>"T"&amp;ROUNDUP(G288/3,0)</f>
        <v>T4</v>
      </c>
    </row>
    <row r="289" spans="1:8">
      <c r="A289" s="10">
        <v>45936</v>
      </c>
      <c r="B289">
        <v>288</v>
      </c>
      <c r="C289">
        <v>607</v>
      </c>
      <c r="D289" t="s">
        <v>166</v>
      </c>
      <c r="E289" s="9">
        <v>537.04</v>
      </c>
      <c r="F289" t="str">
        <f>VLOOKUP(C289,'Plan contable'!$A$2:$C$16,3,FALSE)</f>
        <v>Aprovisionamientos</v>
      </c>
      <c r="G289">
        <f>MONTH(A289)</f>
        <v>10</v>
      </c>
      <c r="H289" t="str">
        <f>"T"&amp;ROUNDUP(G289/3,0)</f>
        <v>T4</v>
      </c>
    </row>
    <row r="290" spans="1:8">
      <c r="A290" s="10">
        <v>45937</v>
      </c>
      <c r="B290">
        <v>289</v>
      </c>
      <c r="C290">
        <v>700</v>
      </c>
      <c r="D290" t="s">
        <v>168</v>
      </c>
      <c r="E290" s="9">
        <v>3298.97</v>
      </c>
      <c r="F290" t="str">
        <f>VLOOKUP(C290,'Plan contable'!$A$2:$C$16,3,FALSE)</f>
        <v>Importe neto de la cifra de negocios</v>
      </c>
      <c r="G290">
        <f>MONTH(A290)</f>
        <v>10</v>
      </c>
      <c r="H290" t="str">
        <f>"T"&amp;ROUNDUP(G290/3,0)</f>
        <v>T4</v>
      </c>
    </row>
    <row r="291" spans="1:8">
      <c r="A291" s="10">
        <v>45938</v>
      </c>
      <c r="B291">
        <v>290</v>
      </c>
      <c r="C291">
        <v>700</v>
      </c>
      <c r="D291" t="s">
        <v>168</v>
      </c>
      <c r="E291" s="9">
        <v>4100.73</v>
      </c>
      <c r="F291" t="str">
        <f>VLOOKUP(C291,'Plan contable'!$A$2:$C$16,3,FALSE)</f>
        <v>Importe neto de la cifra de negocios</v>
      </c>
      <c r="G291">
        <f>MONTH(A291)</f>
        <v>10</v>
      </c>
      <c r="H291" t="str">
        <f>"T"&amp;ROUNDUP(G291/3,0)</f>
        <v>T4</v>
      </c>
    </row>
    <row r="292" spans="1:8">
      <c r="A292" s="10">
        <v>45939</v>
      </c>
      <c r="B292">
        <v>291</v>
      </c>
      <c r="C292">
        <v>700</v>
      </c>
      <c r="D292" t="s">
        <v>168</v>
      </c>
      <c r="E292" s="9">
        <v>1874.88</v>
      </c>
      <c r="F292" t="str">
        <f>VLOOKUP(C292,'Plan contable'!$A$2:$C$16,3,FALSE)</f>
        <v>Importe neto de la cifra de negocios</v>
      </c>
      <c r="G292">
        <f>MONTH(A292)</f>
        <v>10</v>
      </c>
      <c r="H292" t="str">
        <f>"T"&amp;ROUNDUP(G292/3,0)</f>
        <v>T4</v>
      </c>
    </row>
    <row r="293" spans="1:8">
      <c r="A293" s="10">
        <v>45941</v>
      </c>
      <c r="B293">
        <v>292</v>
      </c>
      <c r="C293">
        <v>625</v>
      </c>
      <c r="D293" t="s">
        <v>171</v>
      </c>
      <c r="E293" s="9">
        <v>180</v>
      </c>
      <c r="F293" t="str">
        <f>VLOOKUP(C293,'Plan contable'!$A$2:$C$16,3,FALSE)</f>
        <v>Otros gastos de explotación</v>
      </c>
      <c r="G293">
        <f>MONTH(A293)</f>
        <v>10</v>
      </c>
      <c r="H293" t="str">
        <f>"T"&amp;ROUNDUP(G293/3,0)</f>
        <v>T4</v>
      </c>
    </row>
    <row r="294" spans="1:8">
      <c r="A294" s="10">
        <v>45943</v>
      </c>
      <c r="B294">
        <v>293</v>
      </c>
      <c r="C294">
        <v>629</v>
      </c>
      <c r="D294" t="s">
        <v>172</v>
      </c>
      <c r="E294" s="9">
        <v>38.72</v>
      </c>
      <c r="F294" t="str">
        <f>VLOOKUP(C294,'Plan contable'!$A$2:$C$16,3,FALSE)</f>
        <v>Otros gastos de explotación</v>
      </c>
      <c r="G294">
        <f>MONTH(A294)</f>
        <v>10</v>
      </c>
      <c r="H294" t="str">
        <f>"T"&amp;ROUNDUP(G294/3,0)</f>
        <v>T4</v>
      </c>
    </row>
    <row r="295" spans="1:8">
      <c r="A295" s="10">
        <v>45944</v>
      </c>
      <c r="B295">
        <v>294</v>
      </c>
      <c r="C295">
        <v>681</v>
      </c>
      <c r="D295" t="s">
        <v>173</v>
      </c>
      <c r="E295" s="9">
        <v>1250</v>
      </c>
      <c r="F295" t="str">
        <f>VLOOKUP(C295,'Plan contable'!$A$2:$C$16,3,FALSE)</f>
        <v>Amortización del inmovilizado</v>
      </c>
      <c r="G295">
        <f>MONTH(A295)</f>
        <v>10</v>
      </c>
      <c r="H295" t="str">
        <f>"T"&amp;ROUNDUP(G295/3,0)</f>
        <v>T4</v>
      </c>
    </row>
    <row r="296" spans="1:8">
      <c r="A296" s="10">
        <v>45945</v>
      </c>
      <c r="B296">
        <v>295</v>
      </c>
      <c r="C296">
        <v>600</v>
      </c>
      <c r="D296" t="s">
        <v>174</v>
      </c>
      <c r="E296" s="9">
        <v>1259.83</v>
      </c>
      <c r="F296" t="str">
        <f>VLOOKUP(C296,'Plan contable'!$A$2:$C$16,3,FALSE)</f>
        <v>Aprovisionamientos</v>
      </c>
      <c r="G296">
        <f>MONTH(A296)</f>
        <v>10</v>
      </c>
      <c r="H296" t="str">
        <f>"T"&amp;ROUNDUP(G296/3,0)</f>
        <v>T4</v>
      </c>
    </row>
    <row r="297" spans="1:8">
      <c r="A297" s="10">
        <v>45947</v>
      </c>
      <c r="B297">
        <v>296</v>
      </c>
      <c r="C297">
        <v>600</v>
      </c>
      <c r="D297" t="s">
        <v>174</v>
      </c>
      <c r="E297" s="9">
        <v>1824.19</v>
      </c>
      <c r="F297" t="str">
        <f>VLOOKUP(C297,'Plan contable'!$A$2:$C$16,3,FALSE)</f>
        <v>Aprovisionamientos</v>
      </c>
      <c r="G297">
        <f>MONTH(A297)</f>
        <v>10</v>
      </c>
      <c r="H297" t="str">
        <f>"T"&amp;ROUNDUP(G297/3,0)</f>
        <v>T4</v>
      </c>
    </row>
    <row r="298" spans="1:8">
      <c r="A298" s="10">
        <v>45947</v>
      </c>
      <c r="B298">
        <v>297</v>
      </c>
      <c r="C298">
        <v>622</v>
      </c>
      <c r="D298" t="s">
        <v>175</v>
      </c>
      <c r="E298" s="9">
        <v>385.71</v>
      </c>
      <c r="F298" t="str">
        <f>VLOOKUP(C298,'Plan contable'!$A$2:$C$16,3,FALSE)</f>
        <v>Otros gastos de explotación</v>
      </c>
      <c r="G298">
        <f>MONTH(A298)</f>
        <v>10</v>
      </c>
      <c r="H298" t="str">
        <f>"T"&amp;ROUNDUP(G298/3,0)</f>
        <v>T4</v>
      </c>
    </row>
    <row r="299" spans="1:8">
      <c r="A299" s="10">
        <v>45947</v>
      </c>
      <c r="B299">
        <v>298</v>
      </c>
      <c r="C299">
        <v>662</v>
      </c>
      <c r="D299" t="s">
        <v>176</v>
      </c>
      <c r="E299" s="9">
        <v>334.53</v>
      </c>
      <c r="F299" t="str">
        <f>VLOOKUP(C299,'Plan contable'!$A$2:$C$16,3,FALSE)</f>
        <v>Gastos financieros</v>
      </c>
      <c r="G299">
        <f>MONTH(A299)</f>
        <v>10</v>
      </c>
      <c r="H299" t="str">
        <f>"T"&amp;ROUNDUP(G299/3,0)</f>
        <v>T4</v>
      </c>
    </row>
    <row r="300" spans="1:8">
      <c r="A300" s="10">
        <v>45948</v>
      </c>
      <c r="B300">
        <v>299</v>
      </c>
      <c r="C300">
        <v>642</v>
      </c>
      <c r="D300" t="s">
        <v>177</v>
      </c>
      <c r="E300" s="9">
        <v>4650</v>
      </c>
      <c r="F300" t="str">
        <f>VLOOKUP(C300,'Plan contable'!$A$2:$C$16,3,FALSE)</f>
        <v>Gastos de personal</v>
      </c>
      <c r="G300">
        <f>MONTH(A300)</f>
        <v>10</v>
      </c>
      <c r="H300" t="str">
        <f>"T"&amp;ROUNDUP(G300/3,0)</f>
        <v>T4</v>
      </c>
    </row>
    <row r="301" spans="1:8">
      <c r="A301" s="10">
        <v>45948</v>
      </c>
      <c r="B301">
        <v>300</v>
      </c>
      <c r="C301">
        <v>700</v>
      </c>
      <c r="D301" t="s">
        <v>168</v>
      </c>
      <c r="E301" s="9">
        <v>4078.69</v>
      </c>
      <c r="F301" t="str">
        <f>VLOOKUP(C301,'Plan contable'!$A$2:$C$16,3,FALSE)</f>
        <v>Importe neto de la cifra de negocios</v>
      </c>
      <c r="G301">
        <f>MONTH(A301)</f>
        <v>10</v>
      </c>
      <c r="H301" t="str">
        <f>"T"&amp;ROUNDUP(G301/3,0)</f>
        <v>T4</v>
      </c>
    </row>
    <row r="302" spans="1:8">
      <c r="A302" s="10">
        <v>45949</v>
      </c>
      <c r="B302">
        <v>301</v>
      </c>
      <c r="C302">
        <v>705</v>
      </c>
      <c r="D302" t="s">
        <v>169</v>
      </c>
      <c r="E302" s="9">
        <v>1132.44</v>
      </c>
      <c r="F302" t="str">
        <f>VLOOKUP(C302,'Plan contable'!$A$2:$C$16,3,FALSE)</f>
        <v>Importe neto de la cifra de negocios</v>
      </c>
      <c r="G302">
        <f>MONTH(A302)</f>
        <v>10</v>
      </c>
      <c r="H302" t="str">
        <f>"T"&amp;ROUNDUP(G302/3,0)</f>
        <v>T4</v>
      </c>
    </row>
    <row r="303" spans="1:8">
      <c r="A303" s="10">
        <v>45949</v>
      </c>
      <c r="B303">
        <v>302</v>
      </c>
      <c r="C303">
        <v>705</v>
      </c>
      <c r="D303" t="s">
        <v>169</v>
      </c>
      <c r="E303" s="9">
        <v>881.27</v>
      </c>
      <c r="F303" t="str">
        <f>VLOOKUP(C303,'Plan contable'!$A$2:$C$16,3,FALSE)</f>
        <v>Importe neto de la cifra de negocios</v>
      </c>
      <c r="G303">
        <f>MONTH(A303)</f>
        <v>10</v>
      </c>
      <c r="H303" t="str">
        <f>"T"&amp;ROUNDUP(G303/3,0)</f>
        <v>T4</v>
      </c>
    </row>
    <row r="304" spans="1:8">
      <c r="A304" s="10">
        <v>45950</v>
      </c>
      <c r="B304">
        <v>303</v>
      </c>
      <c r="C304">
        <v>600</v>
      </c>
      <c r="D304" t="s">
        <v>174</v>
      </c>
      <c r="E304" s="9">
        <v>1378.96</v>
      </c>
      <c r="F304" t="str">
        <f>VLOOKUP(C304,'Plan contable'!$A$2:$C$16,3,FALSE)</f>
        <v>Aprovisionamientos</v>
      </c>
      <c r="G304">
        <f>MONTH(A304)</f>
        <v>10</v>
      </c>
      <c r="H304" t="str">
        <f>"T"&amp;ROUNDUP(G304/3,0)</f>
        <v>T4</v>
      </c>
    </row>
    <row r="305" spans="1:8">
      <c r="A305" s="10">
        <v>45952</v>
      </c>
      <c r="B305">
        <v>304</v>
      </c>
      <c r="C305">
        <v>600</v>
      </c>
      <c r="D305" t="s">
        <v>174</v>
      </c>
      <c r="E305" s="9">
        <v>1614.72</v>
      </c>
      <c r="F305" t="str">
        <f>VLOOKUP(C305,'Plan contable'!$A$2:$C$16,3,FALSE)</f>
        <v>Aprovisionamientos</v>
      </c>
      <c r="G305">
        <f>MONTH(A305)</f>
        <v>10</v>
      </c>
      <c r="H305" t="str">
        <f>"T"&amp;ROUNDUP(G305/3,0)</f>
        <v>T4</v>
      </c>
    </row>
    <row r="306" spans="1:8">
      <c r="A306" s="10">
        <v>45952</v>
      </c>
      <c r="B306">
        <v>305</v>
      </c>
      <c r="C306">
        <v>600</v>
      </c>
      <c r="D306" t="s">
        <v>174</v>
      </c>
      <c r="E306" s="9">
        <v>818.09</v>
      </c>
      <c r="F306" t="str">
        <f>VLOOKUP(C306,'Plan contable'!$A$2:$C$16,3,FALSE)</f>
        <v>Aprovisionamientos</v>
      </c>
      <c r="G306">
        <f>MONTH(A306)</f>
        <v>10</v>
      </c>
      <c r="H306" t="str">
        <f>"T"&amp;ROUNDUP(G306/3,0)</f>
        <v>T4</v>
      </c>
    </row>
    <row r="307" spans="1:8">
      <c r="A307" s="10">
        <v>45953</v>
      </c>
      <c r="B307">
        <v>306</v>
      </c>
      <c r="C307">
        <v>627</v>
      </c>
      <c r="D307" t="s">
        <v>178</v>
      </c>
      <c r="E307" s="9">
        <v>150.06</v>
      </c>
      <c r="F307" t="str">
        <f>VLOOKUP(C307,'Plan contable'!$A$2:$C$16,3,FALSE)</f>
        <v>Otros gastos de explotación</v>
      </c>
      <c r="G307">
        <f>MONTH(A307)</f>
        <v>10</v>
      </c>
      <c r="H307" t="str">
        <f>"T"&amp;ROUNDUP(G307/3,0)</f>
        <v>T4</v>
      </c>
    </row>
    <row r="308" spans="1:8">
      <c r="A308" s="10">
        <v>45954</v>
      </c>
      <c r="B308">
        <v>307</v>
      </c>
      <c r="C308">
        <v>705</v>
      </c>
      <c r="D308" t="s">
        <v>169</v>
      </c>
      <c r="E308" s="9">
        <v>1434.17</v>
      </c>
      <c r="F308" t="str">
        <f>VLOOKUP(C308,'Plan contable'!$A$2:$C$16,3,FALSE)</f>
        <v>Importe neto de la cifra de negocios</v>
      </c>
      <c r="G308">
        <f>MONTH(A308)</f>
        <v>10</v>
      </c>
      <c r="H308" t="str">
        <f>"T"&amp;ROUNDUP(G308/3,0)</f>
        <v>T4</v>
      </c>
    </row>
    <row r="309" spans="1:8">
      <c r="A309" s="10">
        <v>45955</v>
      </c>
      <c r="B309">
        <v>308</v>
      </c>
      <c r="C309">
        <v>705</v>
      </c>
      <c r="D309" t="s">
        <v>169</v>
      </c>
      <c r="E309" s="9">
        <v>1678.06</v>
      </c>
      <c r="F309" t="str">
        <f>VLOOKUP(C309,'Plan contable'!$A$2:$C$16,3,FALSE)</f>
        <v>Importe neto de la cifra de negocios</v>
      </c>
      <c r="G309">
        <f>MONTH(A309)</f>
        <v>10</v>
      </c>
      <c r="H309" t="str">
        <f>"T"&amp;ROUNDUP(G309/3,0)</f>
        <v>T4</v>
      </c>
    </row>
    <row r="310" spans="1:8">
      <c r="A310" s="10">
        <v>45956</v>
      </c>
      <c r="B310">
        <v>309</v>
      </c>
      <c r="C310">
        <v>621</v>
      </c>
      <c r="D310" t="s">
        <v>179</v>
      </c>
      <c r="E310" s="9">
        <v>1800</v>
      </c>
      <c r="F310" t="str">
        <f>VLOOKUP(C310,'Plan contable'!$A$2:$C$16,3,FALSE)</f>
        <v>Otros gastos de explotación</v>
      </c>
      <c r="G310">
        <f>MONTH(A310)</f>
        <v>10</v>
      </c>
      <c r="H310" t="str">
        <f>"T"&amp;ROUNDUP(G310/3,0)</f>
        <v>T4</v>
      </c>
    </row>
    <row r="311" spans="1:8">
      <c r="A311" s="10">
        <v>45956</v>
      </c>
      <c r="B311">
        <v>310</v>
      </c>
      <c r="C311">
        <v>629</v>
      </c>
      <c r="D311" t="s">
        <v>172</v>
      </c>
      <c r="E311" s="9">
        <v>113.73</v>
      </c>
      <c r="F311" t="str">
        <f>VLOOKUP(C311,'Plan contable'!$A$2:$C$16,3,FALSE)</f>
        <v>Otros gastos de explotación</v>
      </c>
      <c r="G311">
        <f>MONTH(A311)</f>
        <v>10</v>
      </c>
      <c r="H311" t="str">
        <f>"T"&amp;ROUNDUP(G311/3,0)</f>
        <v>T4</v>
      </c>
    </row>
    <row r="312" spans="1:8">
      <c r="A312" s="10">
        <v>45963</v>
      </c>
      <c r="B312">
        <v>311</v>
      </c>
      <c r="C312">
        <v>700</v>
      </c>
      <c r="D312" t="s">
        <v>180</v>
      </c>
      <c r="E312" s="9">
        <v>3195.39</v>
      </c>
      <c r="F312" t="str">
        <f>VLOOKUP(C312,'Plan contable'!$A$2:$C$16,3,FALSE)</f>
        <v>Importe neto de la cifra de negocios</v>
      </c>
      <c r="G312">
        <f>MONTH(A312)</f>
        <v>11</v>
      </c>
      <c r="H312" t="str">
        <f>"T"&amp;ROUNDUP(G312/3,0)</f>
        <v>T4</v>
      </c>
    </row>
    <row r="313" spans="1:8">
      <c r="A313" s="10">
        <v>45964</v>
      </c>
      <c r="B313">
        <v>312</v>
      </c>
      <c r="C313">
        <v>600</v>
      </c>
      <c r="D313" t="s">
        <v>181</v>
      </c>
      <c r="E313" s="9">
        <v>1049.49</v>
      </c>
      <c r="F313" t="str">
        <f>VLOOKUP(C313,'Plan contable'!$A$2:$C$16,3,FALSE)</f>
        <v>Aprovisionamientos</v>
      </c>
      <c r="G313">
        <f>MONTH(A313)</f>
        <v>11</v>
      </c>
      <c r="H313" t="str">
        <f>"T"&amp;ROUNDUP(G313/3,0)</f>
        <v>T4</v>
      </c>
    </row>
    <row r="314" spans="1:8">
      <c r="A314" s="10">
        <v>45965</v>
      </c>
      <c r="B314">
        <v>313</v>
      </c>
      <c r="C314">
        <v>607</v>
      </c>
      <c r="D314" t="s">
        <v>182</v>
      </c>
      <c r="E314" s="9">
        <v>717.45</v>
      </c>
      <c r="F314" t="str">
        <f>VLOOKUP(C314,'Plan contable'!$A$2:$C$16,3,FALSE)</f>
        <v>Aprovisionamientos</v>
      </c>
      <c r="G314">
        <f>MONTH(A314)</f>
        <v>11</v>
      </c>
      <c r="H314" t="str">
        <f>"T"&amp;ROUNDUP(G314/3,0)</f>
        <v>T4</v>
      </c>
    </row>
    <row r="315" spans="1:8">
      <c r="A315" s="10">
        <v>45965</v>
      </c>
      <c r="B315">
        <v>314</v>
      </c>
      <c r="C315">
        <v>628</v>
      </c>
      <c r="D315" t="s">
        <v>183</v>
      </c>
      <c r="E315" s="9">
        <v>273.59</v>
      </c>
      <c r="F315" t="str">
        <f>VLOOKUP(C315,'Plan contable'!$A$2:$C$16,3,FALSE)</f>
        <v>Otros gastos de explotación</v>
      </c>
      <c r="G315">
        <f>MONTH(A315)</f>
        <v>11</v>
      </c>
      <c r="H315" t="str">
        <f>"T"&amp;ROUNDUP(G315/3,0)</f>
        <v>T4</v>
      </c>
    </row>
    <row r="316" spans="1:8">
      <c r="A316" s="10">
        <v>45965</v>
      </c>
      <c r="B316">
        <v>315</v>
      </c>
      <c r="C316">
        <v>700</v>
      </c>
      <c r="D316" t="s">
        <v>180</v>
      </c>
      <c r="E316" s="9">
        <v>4185.42</v>
      </c>
      <c r="F316" t="str">
        <f>VLOOKUP(C316,'Plan contable'!$A$2:$C$16,3,FALSE)</f>
        <v>Importe neto de la cifra de negocios</v>
      </c>
      <c r="G316">
        <f>MONTH(A316)</f>
        <v>11</v>
      </c>
      <c r="H316" t="str">
        <f>"T"&amp;ROUNDUP(G316/3,0)</f>
        <v>T4</v>
      </c>
    </row>
    <row r="317" spans="1:8">
      <c r="A317" s="10">
        <v>45965</v>
      </c>
      <c r="B317">
        <v>316</v>
      </c>
      <c r="C317">
        <v>700</v>
      </c>
      <c r="D317" t="s">
        <v>180</v>
      </c>
      <c r="E317" s="9">
        <v>4310.1</v>
      </c>
      <c r="F317" t="str">
        <f>VLOOKUP(C317,'Plan contable'!$A$2:$C$16,3,FALSE)</f>
        <v>Importe neto de la cifra de negocios</v>
      </c>
      <c r="G317">
        <f>MONTH(A317)</f>
        <v>11</v>
      </c>
      <c r="H317" t="str">
        <f>"T"&amp;ROUNDUP(G317/3,0)</f>
        <v>T4</v>
      </c>
    </row>
    <row r="318" spans="1:8">
      <c r="A318" s="10">
        <v>45966</v>
      </c>
      <c r="B318">
        <v>317</v>
      </c>
      <c r="C318">
        <v>629</v>
      </c>
      <c r="D318" t="s">
        <v>184</v>
      </c>
      <c r="E318" s="9">
        <v>164.27</v>
      </c>
      <c r="F318" t="str">
        <f>VLOOKUP(C318,'Plan contable'!$A$2:$C$16,3,FALSE)</f>
        <v>Otros gastos de explotación</v>
      </c>
      <c r="G318">
        <f>MONTH(A318)</f>
        <v>11</v>
      </c>
      <c r="H318" t="str">
        <f>"T"&amp;ROUNDUP(G318/3,0)</f>
        <v>T4</v>
      </c>
    </row>
    <row r="319" spans="1:8">
      <c r="A319" s="10">
        <v>45969</v>
      </c>
      <c r="B319">
        <v>318</v>
      </c>
      <c r="C319">
        <v>640</v>
      </c>
      <c r="D319" t="s">
        <v>185</v>
      </c>
      <c r="E319" s="9">
        <v>14500</v>
      </c>
      <c r="F319" t="str">
        <f>VLOOKUP(C319,'Plan contable'!$A$2:$C$16,3,FALSE)</f>
        <v>Gastos de personal</v>
      </c>
      <c r="G319">
        <f>MONTH(A319)</f>
        <v>11</v>
      </c>
      <c r="H319" t="str">
        <f>"T"&amp;ROUNDUP(G319/3,0)</f>
        <v>T4</v>
      </c>
    </row>
    <row r="320" spans="1:8">
      <c r="A320" s="10">
        <v>45969</v>
      </c>
      <c r="B320">
        <v>319</v>
      </c>
      <c r="C320">
        <v>642</v>
      </c>
      <c r="D320" t="s">
        <v>186</v>
      </c>
      <c r="E320" s="9">
        <v>4650</v>
      </c>
      <c r="F320" t="str">
        <f>VLOOKUP(C320,'Plan contable'!$A$2:$C$16,3,FALSE)</f>
        <v>Gastos de personal</v>
      </c>
      <c r="G320">
        <f>MONTH(A320)</f>
        <v>11</v>
      </c>
      <c r="H320" t="str">
        <f>"T"&amp;ROUNDUP(G320/3,0)</f>
        <v>T4</v>
      </c>
    </row>
    <row r="321" spans="1:8">
      <c r="A321" s="10">
        <v>45970</v>
      </c>
      <c r="B321">
        <v>320</v>
      </c>
      <c r="C321">
        <v>705</v>
      </c>
      <c r="D321" t="s">
        <v>187</v>
      </c>
      <c r="E321" s="9">
        <v>1584.61</v>
      </c>
      <c r="F321" t="str">
        <f>VLOOKUP(C321,'Plan contable'!$A$2:$C$16,3,FALSE)</f>
        <v>Importe neto de la cifra de negocios</v>
      </c>
      <c r="G321">
        <f>MONTH(A321)</f>
        <v>11</v>
      </c>
      <c r="H321" t="str">
        <f>"T"&amp;ROUNDUP(G321/3,0)</f>
        <v>T4</v>
      </c>
    </row>
    <row r="322" spans="1:8">
      <c r="A322" s="10">
        <v>45970</v>
      </c>
      <c r="B322">
        <v>321</v>
      </c>
      <c r="C322">
        <v>705</v>
      </c>
      <c r="D322" t="s">
        <v>187</v>
      </c>
      <c r="E322" s="9">
        <v>939.79</v>
      </c>
      <c r="F322" t="str">
        <f>VLOOKUP(C322,'Plan contable'!$A$2:$C$16,3,FALSE)</f>
        <v>Importe neto de la cifra de negocios</v>
      </c>
      <c r="G322">
        <f>MONTH(A322)</f>
        <v>11</v>
      </c>
      <c r="H322" t="str">
        <f>"T"&amp;ROUNDUP(G322/3,0)</f>
        <v>T4</v>
      </c>
    </row>
    <row r="323" spans="1:8">
      <c r="A323" s="10">
        <v>45973</v>
      </c>
      <c r="B323">
        <v>322</v>
      </c>
      <c r="C323">
        <v>600</v>
      </c>
      <c r="D323" t="s">
        <v>181</v>
      </c>
      <c r="E323" s="9">
        <v>1032.33</v>
      </c>
      <c r="F323" t="str">
        <f>VLOOKUP(C323,'Plan contable'!$A$2:$C$16,3,FALSE)</f>
        <v>Aprovisionamientos</v>
      </c>
      <c r="G323">
        <f>MONTH(A323)</f>
        <v>11</v>
      </c>
      <c r="H323" t="str">
        <f>"T"&amp;ROUNDUP(G323/3,0)</f>
        <v>T4</v>
      </c>
    </row>
    <row r="324" spans="1:8">
      <c r="A324" s="10">
        <v>45973</v>
      </c>
      <c r="B324">
        <v>323</v>
      </c>
      <c r="C324">
        <v>600</v>
      </c>
      <c r="D324" t="s">
        <v>181</v>
      </c>
      <c r="E324" s="9">
        <v>2145.84</v>
      </c>
      <c r="F324" t="str">
        <f>VLOOKUP(C324,'Plan contable'!$A$2:$C$16,3,FALSE)</f>
        <v>Aprovisionamientos</v>
      </c>
      <c r="G324">
        <f>MONTH(A324)</f>
        <v>11</v>
      </c>
      <c r="H324" t="str">
        <f>"T"&amp;ROUNDUP(G324/3,0)</f>
        <v>T4</v>
      </c>
    </row>
    <row r="325" spans="1:8">
      <c r="A325" s="10">
        <v>45973</v>
      </c>
      <c r="B325">
        <v>324</v>
      </c>
      <c r="C325">
        <v>622</v>
      </c>
      <c r="D325" t="s">
        <v>188</v>
      </c>
      <c r="E325" s="9">
        <v>468.35</v>
      </c>
      <c r="F325" t="str">
        <f>VLOOKUP(C325,'Plan contable'!$A$2:$C$16,3,FALSE)</f>
        <v>Otros gastos de explotación</v>
      </c>
      <c r="G325">
        <f>MONTH(A325)</f>
        <v>11</v>
      </c>
      <c r="H325" t="str">
        <f>"T"&amp;ROUNDUP(G325/3,0)</f>
        <v>T4</v>
      </c>
    </row>
    <row r="326" spans="1:8">
      <c r="A326" s="10">
        <v>45973</v>
      </c>
      <c r="B326">
        <v>325</v>
      </c>
      <c r="C326">
        <v>628</v>
      </c>
      <c r="D326" t="s">
        <v>183</v>
      </c>
      <c r="E326" s="9">
        <v>379.75</v>
      </c>
      <c r="F326" t="str">
        <f>VLOOKUP(C326,'Plan contable'!$A$2:$C$16,3,FALSE)</f>
        <v>Otros gastos de explotación</v>
      </c>
      <c r="G326">
        <f>MONTH(A326)</f>
        <v>11</v>
      </c>
      <c r="H326" t="str">
        <f>"T"&amp;ROUNDUP(G326/3,0)</f>
        <v>T4</v>
      </c>
    </row>
    <row r="327" spans="1:8">
      <c r="A327" s="10">
        <v>45974</v>
      </c>
      <c r="B327">
        <v>326</v>
      </c>
      <c r="C327">
        <v>700</v>
      </c>
      <c r="D327" t="s">
        <v>180</v>
      </c>
      <c r="E327" s="9">
        <v>2101.08</v>
      </c>
      <c r="F327" t="str">
        <f>VLOOKUP(C327,'Plan contable'!$A$2:$C$16,3,FALSE)</f>
        <v>Importe neto de la cifra de negocios</v>
      </c>
      <c r="G327">
        <f>MONTH(A327)</f>
        <v>11</v>
      </c>
      <c r="H327" t="str">
        <f>"T"&amp;ROUNDUP(G327/3,0)</f>
        <v>T4</v>
      </c>
    </row>
    <row r="328" spans="1:8">
      <c r="A328" s="10">
        <v>45974</v>
      </c>
      <c r="B328">
        <v>327</v>
      </c>
      <c r="C328">
        <v>705</v>
      </c>
      <c r="D328" t="s">
        <v>187</v>
      </c>
      <c r="E328" s="9">
        <v>923.48</v>
      </c>
      <c r="F328" t="str">
        <f>VLOOKUP(C328,'Plan contable'!$A$2:$C$16,3,FALSE)</f>
        <v>Importe neto de la cifra de negocios</v>
      </c>
      <c r="G328">
        <f>MONTH(A328)</f>
        <v>11</v>
      </c>
      <c r="H328" t="str">
        <f>"T"&amp;ROUNDUP(G328/3,0)</f>
        <v>T4</v>
      </c>
    </row>
    <row r="329" spans="1:8">
      <c r="A329" s="10">
        <v>45976</v>
      </c>
      <c r="B329">
        <v>328</v>
      </c>
      <c r="C329">
        <v>627</v>
      </c>
      <c r="D329" t="s">
        <v>189</v>
      </c>
      <c r="E329" s="9">
        <v>195.95</v>
      </c>
      <c r="F329" t="str">
        <f>VLOOKUP(C329,'Plan contable'!$A$2:$C$16,3,FALSE)</f>
        <v>Otros gastos de explotación</v>
      </c>
      <c r="G329">
        <f>MONTH(A329)</f>
        <v>11</v>
      </c>
      <c r="H329" t="str">
        <f>"T"&amp;ROUNDUP(G329/3,0)</f>
        <v>T4</v>
      </c>
    </row>
    <row r="330" spans="1:8">
      <c r="A330" s="10">
        <v>45976</v>
      </c>
      <c r="B330">
        <v>329</v>
      </c>
      <c r="C330">
        <v>662</v>
      </c>
      <c r="D330" t="s">
        <v>190</v>
      </c>
      <c r="E330" s="9">
        <v>444.63</v>
      </c>
      <c r="F330" t="str">
        <f>VLOOKUP(C330,'Plan contable'!$A$2:$C$16,3,FALSE)</f>
        <v>Gastos financieros</v>
      </c>
      <c r="G330">
        <f>MONTH(A330)</f>
        <v>11</v>
      </c>
      <c r="H330" t="str">
        <f>"T"&amp;ROUNDUP(G330/3,0)</f>
        <v>T4</v>
      </c>
    </row>
    <row r="331" spans="1:8">
      <c r="A331" s="10">
        <v>45978</v>
      </c>
      <c r="B331">
        <v>330</v>
      </c>
      <c r="C331">
        <v>625</v>
      </c>
      <c r="D331" t="s">
        <v>191</v>
      </c>
      <c r="E331" s="9">
        <v>180</v>
      </c>
      <c r="F331" t="str">
        <f>VLOOKUP(C331,'Plan contable'!$A$2:$C$16,3,FALSE)</f>
        <v>Otros gastos de explotación</v>
      </c>
      <c r="G331">
        <f>MONTH(A331)</f>
        <v>11</v>
      </c>
      <c r="H331" t="str">
        <f>"T"&amp;ROUNDUP(G331/3,0)</f>
        <v>T4</v>
      </c>
    </row>
    <row r="332" spans="1:8">
      <c r="A332" s="10">
        <v>45979</v>
      </c>
      <c r="B332">
        <v>331</v>
      </c>
      <c r="C332">
        <v>600</v>
      </c>
      <c r="D332" t="s">
        <v>181</v>
      </c>
      <c r="E332" s="9">
        <v>1790.49</v>
      </c>
      <c r="F332" t="str">
        <f>VLOOKUP(C332,'Plan contable'!$A$2:$C$16,3,FALSE)</f>
        <v>Aprovisionamientos</v>
      </c>
      <c r="G332">
        <f>MONTH(A332)</f>
        <v>11</v>
      </c>
      <c r="H332" t="str">
        <f>"T"&amp;ROUNDUP(G332/3,0)</f>
        <v>T4</v>
      </c>
    </row>
    <row r="333" spans="1:8">
      <c r="A333" s="10">
        <v>45979</v>
      </c>
      <c r="B333">
        <v>332</v>
      </c>
      <c r="C333">
        <v>681</v>
      </c>
      <c r="D333" t="s">
        <v>192</v>
      </c>
      <c r="E333" s="9">
        <v>1250</v>
      </c>
      <c r="F333" t="str">
        <f>VLOOKUP(C333,'Plan contable'!$A$2:$C$16,3,FALSE)</f>
        <v>Amortización del inmovilizado</v>
      </c>
      <c r="G333">
        <f>MONTH(A333)</f>
        <v>11</v>
      </c>
      <c r="H333" t="str">
        <f>"T"&amp;ROUNDUP(G333/3,0)</f>
        <v>T4</v>
      </c>
    </row>
    <row r="334" spans="1:8">
      <c r="A334" s="10">
        <v>45981</v>
      </c>
      <c r="B334">
        <v>333</v>
      </c>
      <c r="C334">
        <v>700</v>
      </c>
      <c r="D334" t="s">
        <v>180</v>
      </c>
      <c r="E334" s="9">
        <v>3971.99</v>
      </c>
      <c r="F334" t="str">
        <f>VLOOKUP(C334,'Plan contable'!$A$2:$C$16,3,FALSE)</f>
        <v>Importe neto de la cifra de negocios</v>
      </c>
      <c r="G334">
        <f>MONTH(A334)</f>
        <v>11</v>
      </c>
      <c r="H334" t="str">
        <f>"T"&amp;ROUNDUP(G334/3,0)</f>
        <v>T4</v>
      </c>
    </row>
    <row r="335" spans="1:8">
      <c r="A335" s="10">
        <v>45981</v>
      </c>
      <c r="B335">
        <v>334</v>
      </c>
      <c r="C335">
        <v>700</v>
      </c>
      <c r="D335" t="s">
        <v>180</v>
      </c>
      <c r="E335" s="9">
        <v>3675.86</v>
      </c>
      <c r="F335" t="str">
        <f>VLOOKUP(C335,'Plan contable'!$A$2:$C$16,3,FALSE)</f>
        <v>Importe neto de la cifra de negocios</v>
      </c>
      <c r="G335">
        <f>MONTH(A335)</f>
        <v>11</v>
      </c>
      <c r="H335" t="str">
        <f>"T"&amp;ROUNDUP(G335/3,0)</f>
        <v>T4</v>
      </c>
    </row>
    <row r="336" spans="1:8">
      <c r="A336" s="10">
        <v>45982</v>
      </c>
      <c r="B336">
        <v>335</v>
      </c>
      <c r="C336">
        <v>621</v>
      </c>
      <c r="D336" t="s">
        <v>193</v>
      </c>
      <c r="E336" s="9">
        <v>1800</v>
      </c>
      <c r="F336" t="str">
        <f>VLOOKUP(C336,'Plan contable'!$A$2:$C$16,3,FALSE)</f>
        <v>Otros gastos de explotación</v>
      </c>
      <c r="G336">
        <f>MONTH(A336)</f>
        <v>11</v>
      </c>
      <c r="H336" t="str">
        <f>"T"&amp;ROUNDUP(G336/3,0)</f>
        <v>T4</v>
      </c>
    </row>
    <row r="337" spans="1:8">
      <c r="A337" s="10">
        <v>45982</v>
      </c>
      <c r="B337">
        <v>336</v>
      </c>
      <c r="C337">
        <v>623</v>
      </c>
      <c r="D337" t="s">
        <v>194</v>
      </c>
      <c r="E337" s="9">
        <v>420.19</v>
      </c>
      <c r="F337" t="str">
        <f>VLOOKUP(C337,'Plan contable'!$A$2:$C$16,3,FALSE)</f>
        <v>Otros gastos de explotación</v>
      </c>
      <c r="G337">
        <f>MONTH(A337)</f>
        <v>11</v>
      </c>
      <c r="H337" t="str">
        <f>"T"&amp;ROUNDUP(G337/3,0)</f>
        <v>T4</v>
      </c>
    </row>
    <row r="338" spans="1:8">
      <c r="A338" s="10">
        <v>45983</v>
      </c>
      <c r="B338">
        <v>337</v>
      </c>
      <c r="C338">
        <v>629</v>
      </c>
      <c r="D338" t="s">
        <v>184</v>
      </c>
      <c r="E338" s="9">
        <v>70.08</v>
      </c>
      <c r="F338" t="str">
        <f>VLOOKUP(C338,'Plan contable'!$A$2:$C$16,3,FALSE)</f>
        <v>Otros gastos de explotación</v>
      </c>
      <c r="G338">
        <f>MONTH(A338)</f>
        <v>11</v>
      </c>
      <c r="H338" t="str">
        <f>"T"&amp;ROUNDUP(G338/3,0)</f>
        <v>T4</v>
      </c>
    </row>
    <row r="339" spans="1:8">
      <c r="A339" s="10">
        <v>45985</v>
      </c>
      <c r="B339">
        <v>338</v>
      </c>
      <c r="C339">
        <v>705</v>
      </c>
      <c r="D339" t="s">
        <v>187</v>
      </c>
      <c r="E339" s="9">
        <v>657.98</v>
      </c>
      <c r="F339" t="str">
        <f>VLOOKUP(C339,'Plan contable'!$A$2:$C$16,3,FALSE)</f>
        <v>Importe neto de la cifra de negocios</v>
      </c>
      <c r="G339">
        <f>MONTH(A339)</f>
        <v>11</v>
      </c>
      <c r="H339" t="str">
        <f>"T"&amp;ROUNDUP(G339/3,0)</f>
        <v>T4</v>
      </c>
    </row>
    <row r="340" spans="1:8">
      <c r="A340" s="10">
        <v>45986</v>
      </c>
      <c r="B340">
        <v>339</v>
      </c>
      <c r="C340">
        <v>607</v>
      </c>
      <c r="D340" t="s">
        <v>182</v>
      </c>
      <c r="E340" s="9">
        <v>1049.75</v>
      </c>
      <c r="F340" t="str">
        <f>VLOOKUP(C340,'Plan contable'!$A$2:$C$16,3,FALSE)</f>
        <v>Aprovisionamientos</v>
      </c>
      <c r="G340">
        <f>MONTH(A340)</f>
        <v>11</v>
      </c>
      <c r="H340" t="str">
        <f>"T"&amp;ROUNDUP(G340/3,0)</f>
        <v>T4</v>
      </c>
    </row>
    <row r="341" spans="1:8">
      <c r="A341" s="10">
        <v>45987</v>
      </c>
      <c r="B341">
        <v>340</v>
      </c>
      <c r="C341">
        <v>600</v>
      </c>
      <c r="D341" t="s">
        <v>181</v>
      </c>
      <c r="E341" s="9">
        <v>1060.39</v>
      </c>
      <c r="F341" t="str">
        <f>VLOOKUP(C341,'Plan contable'!$A$2:$C$16,3,FALSE)</f>
        <v>Aprovisionamientos</v>
      </c>
      <c r="G341">
        <f>MONTH(A341)</f>
        <v>11</v>
      </c>
      <c r="H341" t="str">
        <f>"T"&amp;ROUNDUP(G341/3,0)</f>
        <v>T4</v>
      </c>
    </row>
    <row r="342" spans="1:8">
      <c r="A342" s="10">
        <v>45989</v>
      </c>
      <c r="B342">
        <v>341</v>
      </c>
      <c r="C342">
        <v>705</v>
      </c>
      <c r="D342" t="s">
        <v>187</v>
      </c>
      <c r="E342" s="9">
        <v>1566.63</v>
      </c>
      <c r="F342" t="str">
        <f>VLOOKUP(C342,'Plan contable'!$A$2:$C$16,3,FALSE)</f>
        <v>Importe neto de la cifra de negocios</v>
      </c>
      <c r="G342">
        <f>MONTH(A342)</f>
        <v>11</v>
      </c>
      <c r="H342" t="str">
        <f>"T"&amp;ROUNDUP(G342/3,0)</f>
        <v>T4</v>
      </c>
    </row>
    <row r="343" spans="1:8">
      <c r="A343" s="10">
        <v>45992</v>
      </c>
      <c r="B343">
        <v>342</v>
      </c>
      <c r="C343">
        <v>600</v>
      </c>
      <c r="D343" t="s">
        <v>195</v>
      </c>
      <c r="E343" s="9">
        <v>1989.64</v>
      </c>
      <c r="F343" t="str">
        <f>VLOOKUP(C343,'Plan contable'!$A$2:$C$16,3,FALSE)</f>
        <v>Aprovisionamientos</v>
      </c>
      <c r="G343">
        <f>MONTH(A343)</f>
        <v>12</v>
      </c>
      <c r="H343" t="str">
        <f>"T"&amp;ROUNDUP(G343/3,0)</f>
        <v>T4</v>
      </c>
    </row>
    <row r="344" spans="1:8">
      <c r="A344" s="10">
        <v>45992</v>
      </c>
      <c r="B344">
        <v>343</v>
      </c>
      <c r="C344">
        <v>705</v>
      </c>
      <c r="D344" t="s">
        <v>196</v>
      </c>
      <c r="E344" s="9">
        <v>1444.38</v>
      </c>
      <c r="F344" t="str">
        <f>VLOOKUP(C344,'Plan contable'!$A$2:$C$16,3,FALSE)</f>
        <v>Importe neto de la cifra de negocios</v>
      </c>
      <c r="G344">
        <f>MONTH(A344)</f>
        <v>12</v>
      </c>
      <c r="H344" t="str">
        <f>"T"&amp;ROUNDUP(G344/3,0)</f>
        <v>T4</v>
      </c>
    </row>
    <row r="345" spans="1:8">
      <c r="A345" s="10">
        <v>45993</v>
      </c>
      <c r="B345">
        <v>344</v>
      </c>
      <c r="C345">
        <v>600</v>
      </c>
      <c r="D345" t="s">
        <v>195</v>
      </c>
      <c r="E345" s="9">
        <v>1374.08</v>
      </c>
      <c r="F345" t="str">
        <f>VLOOKUP(C345,'Plan contable'!$A$2:$C$16,3,FALSE)</f>
        <v>Aprovisionamientos</v>
      </c>
      <c r="G345">
        <f>MONTH(A345)</f>
        <v>12</v>
      </c>
      <c r="H345" t="str">
        <f>"T"&amp;ROUNDUP(G345/3,0)</f>
        <v>T4</v>
      </c>
    </row>
    <row r="346" spans="1:8">
      <c r="A346" s="10">
        <v>45994</v>
      </c>
      <c r="B346">
        <v>345</v>
      </c>
      <c r="C346">
        <v>621</v>
      </c>
      <c r="D346" t="s">
        <v>197</v>
      </c>
      <c r="E346" s="9">
        <v>1800</v>
      </c>
      <c r="F346" t="str">
        <f>VLOOKUP(C346,'Plan contable'!$A$2:$C$16,3,FALSE)</f>
        <v>Otros gastos de explotación</v>
      </c>
      <c r="G346">
        <f>MONTH(A346)</f>
        <v>12</v>
      </c>
      <c r="H346" t="str">
        <f>"T"&amp;ROUNDUP(G346/3,0)</f>
        <v>T4</v>
      </c>
    </row>
    <row r="347" spans="1:8">
      <c r="A347" s="10">
        <v>45997</v>
      </c>
      <c r="B347">
        <v>346</v>
      </c>
      <c r="C347">
        <v>607</v>
      </c>
      <c r="D347" t="s">
        <v>198</v>
      </c>
      <c r="E347" s="9">
        <v>1233.36</v>
      </c>
      <c r="F347" t="str">
        <f>VLOOKUP(C347,'Plan contable'!$A$2:$C$16,3,FALSE)</f>
        <v>Aprovisionamientos</v>
      </c>
      <c r="G347">
        <f>MONTH(A347)</f>
        <v>12</v>
      </c>
      <c r="H347" t="str">
        <f>"T"&amp;ROUNDUP(G347/3,0)</f>
        <v>T4</v>
      </c>
    </row>
    <row r="348" spans="1:8">
      <c r="A348" s="10">
        <v>45998</v>
      </c>
      <c r="B348">
        <v>347</v>
      </c>
      <c r="C348">
        <v>600</v>
      </c>
      <c r="D348" t="s">
        <v>195</v>
      </c>
      <c r="E348" s="9">
        <v>681.13</v>
      </c>
      <c r="F348" t="str">
        <f>VLOOKUP(C348,'Plan contable'!$A$2:$C$16,3,FALSE)</f>
        <v>Aprovisionamientos</v>
      </c>
      <c r="G348">
        <f>MONTH(A348)</f>
        <v>12</v>
      </c>
      <c r="H348" t="str">
        <f>"T"&amp;ROUNDUP(G348/3,0)</f>
        <v>T4</v>
      </c>
    </row>
    <row r="349" spans="1:8">
      <c r="A349" s="10">
        <v>45998</v>
      </c>
      <c r="B349">
        <v>348</v>
      </c>
      <c r="C349">
        <v>681</v>
      </c>
      <c r="D349" t="s">
        <v>199</v>
      </c>
      <c r="E349" s="9">
        <v>1250</v>
      </c>
      <c r="F349" t="str">
        <f>VLOOKUP(C349,'Plan contable'!$A$2:$C$16,3,FALSE)</f>
        <v>Amortización del inmovilizado</v>
      </c>
      <c r="G349">
        <f>MONTH(A349)</f>
        <v>12</v>
      </c>
      <c r="H349" t="str">
        <f>"T"&amp;ROUNDUP(G349/3,0)</f>
        <v>T4</v>
      </c>
    </row>
    <row r="350" spans="1:8">
      <c r="A350" s="10">
        <v>46000</v>
      </c>
      <c r="B350">
        <v>349</v>
      </c>
      <c r="C350">
        <v>600</v>
      </c>
      <c r="D350" t="s">
        <v>195</v>
      </c>
      <c r="E350" s="9">
        <v>1852.94</v>
      </c>
      <c r="F350" t="str">
        <f>VLOOKUP(C350,'Plan contable'!$A$2:$C$16,3,FALSE)</f>
        <v>Aprovisionamientos</v>
      </c>
      <c r="G350">
        <f>MONTH(A350)</f>
        <v>12</v>
      </c>
      <c r="H350" t="str">
        <f>"T"&amp;ROUNDUP(G350/3,0)</f>
        <v>T4</v>
      </c>
    </row>
    <row r="351" spans="1:8">
      <c r="A351" s="10">
        <v>46001</v>
      </c>
      <c r="B351">
        <v>350</v>
      </c>
      <c r="C351">
        <v>705</v>
      </c>
      <c r="D351" t="s">
        <v>196</v>
      </c>
      <c r="E351" s="9">
        <v>1418.64</v>
      </c>
      <c r="F351" t="str">
        <f>VLOOKUP(C351,'Plan contable'!$A$2:$C$16,3,FALSE)</f>
        <v>Importe neto de la cifra de negocios</v>
      </c>
      <c r="G351">
        <f>MONTH(A351)</f>
        <v>12</v>
      </c>
      <c r="H351" t="str">
        <f>"T"&amp;ROUNDUP(G351/3,0)</f>
        <v>T4</v>
      </c>
    </row>
    <row r="352" spans="1:8">
      <c r="A352" s="10">
        <v>46003</v>
      </c>
      <c r="B352">
        <v>351</v>
      </c>
      <c r="C352">
        <v>607</v>
      </c>
      <c r="D352" t="s">
        <v>198</v>
      </c>
      <c r="E352" s="9">
        <v>425.86</v>
      </c>
      <c r="F352" t="str">
        <f>VLOOKUP(C352,'Plan contable'!$A$2:$C$16,3,FALSE)</f>
        <v>Aprovisionamientos</v>
      </c>
      <c r="G352">
        <f>MONTH(A352)</f>
        <v>12</v>
      </c>
      <c r="H352" t="str">
        <f>"T"&amp;ROUNDUP(G352/3,0)</f>
        <v>T4</v>
      </c>
    </row>
    <row r="353" spans="1:8">
      <c r="A353" s="10">
        <v>46003</v>
      </c>
      <c r="B353">
        <v>352</v>
      </c>
      <c r="C353">
        <v>642</v>
      </c>
      <c r="D353" t="s">
        <v>200</v>
      </c>
      <c r="E353" s="9">
        <v>4650</v>
      </c>
      <c r="F353" t="str">
        <f>VLOOKUP(C353,'Plan contable'!$A$2:$C$16,3,FALSE)</f>
        <v>Gastos de personal</v>
      </c>
      <c r="G353">
        <f>MONTH(A353)</f>
        <v>12</v>
      </c>
      <c r="H353" t="str">
        <f>"T"&amp;ROUNDUP(G353/3,0)</f>
        <v>T4</v>
      </c>
    </row>
    <row r="354" spans="1:8">
      <c r="A354" s="10">
        <v>46003</v>
      </c>
      <c r="B354">
        <v>353</v>
      </c>
      <c r="C354">
        <v>705</v>
      </c>
      <c r="D354" t="s">
        <v>196</v>
      </c>
      <c r="E354" s="9">
        <v>1476.75</v>
      </c>
      <c r="F354" t="str">
        <f>VLOOKUP(C354,'Plan contable'!$A$2:$C$16,3,FALSE)</f>
        <v>Importe neto de la cifra de negocios</v>
      </c>
      <c r="G354">
        <f>MONTH(A354)</f>
        <v>12</v>
      </c>
      <c r="H354" t="str">
        <f>"T"&amp;ROUNDUP(G354/3,0)</f>
        <v>T4</v>
      </c>
    </row>
    <row r="355" spans="1:8">
      <c r="A355" s="10">
        <v>46004</v>
      </c>
      <c r="B355">
        <v>354</v>
      </c>
      <c r="C355">
        <v>600</v>
      </c>
      <c r="D355" t="s">
        <v>195</v>
      </c>
      <c r="E355" s="9">
        <v>1155.85</v>
      </c>
      <c r="F355" t="str">
        <f>VLOOKUP(C355,'Plan contable'!$A$2:$C$16,3,FALSE)</f>
        <v>Aprovisionamientos</v>
      </c>
      <c r="G355">
        <f>MONTH(A355)</f>
        <v>12</v>
      </c>
      <c r="H355" t="str">
        <f>"T"&amp;ROUNDUP(G355/3,0)</f>
        <v>T4</v>
      </c>
    </row>
    <row r="356" spans="1:8">
      <c r="A356" s="10">
        <v>46004</v>
      </c>
      <c r="B356">
        <v>355</v>
      </c>
      <c r="C356">
        <v>700</v>
      </c>
      <c r="D356" t="s">
        <v>201</v>
      </c>
      <c r="E356" s="9">
        <v>2688.01</v>
      </c>
      <c r="F356" t="str">
        <f>VLOOKUP(C356,'Plan contable'!$A$2:$C$16,3,FALSE)</f>
        <v>Importe neto de la cifra de negocios</v>
      </c>
      <c r="G356">
        <f>MONTH(A356)</f>
        <v>12</v>
      </c>
      <c r="H356" t="str">
        <f>"T"&amp;ROUNDUP(G356/3,0)</f>
        <v>T4</v>
      </c>
    </row>
    <row r="357" spans="1:8">
      <c r="A357" s="10">
        <v>46005</v>
      </c>
      <c r="B357">
        <v>356</v>
      </c>
      <c r="C357">
        <v>622</v>
      </c>
      <c r="D357" t="s">
        <v>202</v>
      </c>
      <c r="E357" s="9">
        <v>876.05</v>
      </c>
      <c r="F357" t="str">
        <f>VLOOKUP(C357,'Plan contable'!$A$2:$C$16,3,FALSE)</f>
        <v>Otros gastos de explotación</v>
      </c>
      <c r="G357">
        <f>MONTH(A357)</f>
        <v>12</v>
      </c>
      <c r="H357" t="str">
        <f>"T"&amp;ROUNDUP(G357/3,0)</f>
        <v>T4</v>
      </c>
    </row>
    <row r="358" spans="1:8">
      <c r="A358" s="10">
        <v>46006</v>
      </c>
      <c r="B358">
        <v>357</v>
      </c>
      <c r="C358">
        <v>700</v>
      </c>
      <c r="D358" t="s">
        <v>201</v>
      </c>
      <c r="E358" s="9">
        <v>3190.14</v>
      </c>
      <c r="F358" t="str">
        <f>VLOOKUP(C358,'Plan contable'!$A$2:$C$16,3,FALSE)</f>
        <v>Importe neto de la cifra de negocios</v>
      </c>
      <c r="G358">
        <f>MONTH(A358)</f>
        <v>12</v>
      </c>
      <c r="H358" t="str">
        <f>"T"&amp;ROUNDUP(G358/3,0)</f>
        <v>T4</v>
      </c>
    </row>
    <row r="359" spans="1:8">
      <c r="A359" s="10">
        <v>46007</v>
      </c>
      <c r="B359">
        <v>358</v>
      </c>
      <c r="C359">
        <v>700</v>
      </c>
      <c r="D359" t="s">
        <v>201</v>
      </c>
      <c r="E359" s="9">
        <v>4060.73</v>
      </c>
      <c r="F359" t="str">
        <f>VLOOKUP(C359,'Plan contable'!$A$2:$C$16,3,FALSE)</f>
        <v>Importe neto de la cifra de negocios</v>
      </c>
      <c r="G359">
        <f>MONTH(A359)</f>
        <v>12</v>
      </c>
      <c r="H359" t="str">
        <f>"T"&amp;ROUNDUP(G359/3,0)</f>
        <v>T4</v>
      </c>
    </row>
    <row r="360" spans="1:8">
      <c r="A360" s="10">
        <v>46008</v>
      </c>
      <c r="B360">
        <v>359</v>
      </c>
      <c r="C360">
        <v>628</v>
      </c>
      <c r="D360" t="s">
        <v>203</v>
      </c>
      <c r="E360" s="9">
        <v>177.66</v>
      </c>
      <c r="F360" t="str">
        <f>VLOOKUP(C360,'Plan contable'!$A$2:$C$16,3,FALSE)</f>
        <v>Otros gastos de explotación</v>
      </c>
      <c r="G360">
        <f>MONTH(A360)</f>
        <v>12</v>
      </c>
      <c r="H360" t="str">
        <f>"T"&amp;ROUNDUP(G360/3,0)</f>
        <v>T4</v>
      </c>
    </row>
    <row r="361" spans="1:8">
      <c r="A361" s="10">
        <v>46008</v>
      </c>
      <c r="B361">
        <v>360</v>
      </c>
      <c r="C361">
        <v>628</v>
      </c>
      <c r="D361" t="s">
        <v>203</v>
      </c>
      <c r="E361" s="9">
        <v>187.83</v>
      </c>
      <c r="F361" t="str">
        <f>VLOOKUP(C361,'Plan contable'!$A$2:$C$16,3,FALSE)</f>
        <v>Otros gastos de explotación</v>
      </c>
      <c r="G361">
        <f>MONTH(A361)</f>
        <v>12</v>
      </c>
      <c r="H361" t="str">
        <f>"T"&amp;ROUNDUP(G361/3,0)</f>
        <v>T4</v>
      </c>
    </row>
    <row r="362" spans="1:8">
      <c r="A362" s="10">
        <v>46008</v>
      </c>
      <c r="B362">
        <v>361</v>
      </c>
      <c r="C362">
        <v>640</v>
      </c>
      <c r="D362" t="s">
        <v>204</v>
      </c>
      <c r="E362" s="9">
        <v>14500</v>
      </c>
      <c r="F362" t="str">
        <f>VLOOKUP(C362,'Plan contable'!$A$2:$C$16,3,FALSE)</f>
        <v>Gastos de personal</v>
      </c>
      <c r="G362">
        <f>MONTH(A362)</f>
        <v>12</v>
      </c>
      <c r="H362" t="str">
        <f>"T"&amp;ROUNDUP(G362/3,0)</f>
        <v>T4</v>
      </c>
    </row>
    <row r="363" spans="1:8">
      <c r="A363" s="10">
        <v>46009</v>
      </c>
      <c r="B363">
        <v>362</v>
      </c>
      <c r="C363">
        <v>629</v>
      </c>
      <c r="D363" t="s">
        <v>205</v>
      </c>
      <c r="E363" s="9">
        <v>75.92</v>
      </c>
      <c r="F363" t="str">
        <f>VLOOKUP(C363,'Plan contable'!$A$2:$C$16,3,FALSE)</f>
        <v>Otros gastos de explotación</v>
      </c>
      <c r="G363">
        <f>MONTH(A363)</f>
        <v>12</v>
      </c>
      <c r="H363" t="str">
        <f>"T"&amp;ROUNDUP(G363/3,0)</f>
        <v>T4</v>
      </c>
    </row>
    <row r="364" spans="1:8">
      <c r="A364" s="10">
        <v>46010</v>
      </c>
      <c r="B364">
        <v>363</v>
      </c>
      <c r="C364">
        <v>705</v>
      </c>
      <c r="D364" t="s">
        <v>196</v>
      </c>
      <c r="E364" s="9">
        <v>641.34</v>
      </c>
      <c r="F364" t="str">
        <f>VLOOKUP(C364,'Plan contable'!$A$2:$C$16,3,FALSE)</f>
        <v>Importe neto de la cifra de negocios</v>
      </c>
      <c r="G364">
        <f>MONTH(A364)</f>
        <v>12</v>
      </c>
      <c r="H364" t="str">
        <f>"T"&amp;ROUNDUP(G364/3,0)</f>
        <v>T4</v>
      </c>
    </row>
    <row r="365" spans="1:8">
      <c r="A365" s="10">
        <v>46011</v>
      </c>
      <c r="B365">
        <v>364</v>
      </c>
      <c r="C365">
        <v>700</v>
      </c>
      <c r="D365" t="s">
        <v>201</v>
      </c>
      <c r="E365" s="9">
        <v>4215.61</v>
      </c>
      <c r="F365" t="str">
        <f>VLOOKUP(C365,'Plan contable'!$A$2:$C$16,3,FALSE)</f>
        <v>Importe neto de la cifra de negocios</v>
      </c>
      <c r="G365">
        <f>MONTH(A365)</f>
        <v>12</v>
      </c>
      <c r="H365" t="str">
        <f>"T"&amp;ROUNDUP(G365/3,0)</f>
        <v>T4</v>
      </c>
    </row>
    <row r="366" spans="1:8">
      <c r="A366" s="10">
        <v>46013</v>
      </c>
      <c r="B366">
        <v>365</v>
      </c>
      <c r="C366">
        <v>625</v>
      </c>
      <c r="D366" t="s">
        <v>206</v>
      </c>
      <c r="E366" s="9">
        <v>180</v>
      </c>
      <c r="F366" t="str">
        <f>VLOOKUP(C366,'Plan contable'!$A$2:$C$16,3,FALSE)</f>
        <v>Otros gastos de explotación</v>
      </c>
      <c r="G366">
        <f>MONTH(A366)</f>
        <v>12</v>
      </c>
      <c r="H366" t="str">
        <f>"T"&amp;ROUNDUP(G366/3,0)</f>
        <v>T4</v>
      </c>
    </row>
    <row r="367" spans="1:8">
      <c r="A367" s="10">
        <v>46015</v>
      </c>
      <c r="B367">
        <v>366</v>
      </c>
      <c r="C367">
        <v>662</v>
      </c>
      <c r="D367" t="s">
        <v>207</v>
      </c>
      <c r="E367" s="9">
        <v>321.5</v>
      </c>
      <c r="F367" t="str">
        <f>VLOOKUP(C367,'Plan contable'!$A$2:$C$16,3,FALSE)</f>
        <v>Gastos financieros</v>
      </c>
      <c r="G367">
        <f>MONTH(A367)</f>
        <v>12</v>
      </c>
      <c r="H367" t="str">
        <f>"T"&amp;ROUNDUP(G367/3,0)</f>
        <v>T4</v>
      </c>
    </row>
    <row r="368" spans="1:8">
      <c r="A368" s="10">
        <v>46015</v>
      </c>
      <c r="B368">
        <v>367</v>
      </c>
      <c r="C368">
        <v>700</v>
      </c>
      <c r="D368" t="s">
        <v>201</v>
      </c>
      <c r="E368" s="9">
        <v>2870.16</v>
      </c>
      <c r="F368" t="str">
        <f>VLOOKUP(C368,'Plan contable'!$A$2:$C$16,3,FALSE)</f>
        <v>Importe neto de la cifra de negocios</v>
      </c>
      <c r="G368">
        <f>MONTH(A368)</f>
        <v>12</v>
      </c>
      <c r="H368" t="str">
        <f>"T"&amp;ROUNDUP(G368/3,0)</f>
        <v>T4</v>
      </c>
    </row>
    <row r="369" spans="1:8">
      <c r="A369" s="10">
        <v>46015</v>
      </c>
      <c r="B369">
        <v>368</v>
      </c>
      <c r="C369">
        <v>705</v>
      </c>
      <c r="D369" t="s">
        <v>196</v>
      </c>
      <c r="E369" s="9">
        <v>1615.53</v>
      </c>
      <c r="F369" t="str">
        <f>VLOOKUP(C369,'Plan contable'!$A$2:$C$16,3,FALSE)</f>
        <v>Importe neto de la cifra de negocios</v>
      </c>
      <c r="G369">
        <f>MONTH(A369)</f>
        <v>12</v>
      </c>
      <c r="H369" t="str">
        <f>"T"&amp;ROUNDUP(G369/3,0)</f>
        <v>T4</v>
      </c>
    </row>
    <row r="370" spans="1:8">
      <c r="A370" s="10">
        <v>46016</v>
      </c>
      <c r="B370">
        <v>369</v>
      </c>
      <c r="C370">
        <v>623</v>
      </c>
      <c r="D370" t="s">
        <v>208</v>
      </c>
      <c r="E370" s="9">
        <v>510.48</v>
      </c>
      <c r="F370" t="str">
        <f>VLOOKUP(C370,'Plan contable'!$A$2:$C$16,3,FALSE)</f>
        <v>Otros gastos de explotación</v>
      </c>
      <c r="G370">
        <f>MONTH(A370)</f>
        <v>12</v>
      </c>
      <c r="H370" t="str">
        <f>"T"&amp;ROUNDUP(G370/3,0)</f>
        <v>T4</v>
      </c>
    </row>
    <row r="371" spans="1:8">
      <c r="A371" s="10">
        <v>46016</v>
      </c>
      <c r="B371">
        <v>370</v>
      </c>
      <c r="C371">
        <v>700</v>
      </c>
      <c r="D371" t="s">
        <v>201</v>
      </c>
      <c r="E371" s="9">
        <v>2848.89</v>
      </c>
      <c r="F371" t="str">
        <f>VLOOKUP(C371,'Plan contable'!$A$2:$C$16,3,FALSE)</f>
        <v>Importe neto de la cifra de negocios</v>
      </c>
      <c r="G371">
        <f>MONTH(A371)</f>
        <v>12</v>
      </c>
      <c r="H371" t="str">
        <f>"T"&amp;ROUNDUP(G371/3,0)</f>
        <v>T4</v>
      </c>
    </row>
    <row r="372" spans="1:8">
      <c r="A372" s="10">
        <v>46017</v>
      </c>
      <c r="B372">
        <v>371</v>
      </c>
      <c r="C372">
        <v>627</v>
      </c>
      <c r="D372" t="s">
        <v>209</v>
      </c>
      <c r="E372" s="9">
        <v>984.99</v>
      </c>
      <c r="F372" t="str">
        <f>VLOOKUP(C372,'Plan contable'!$A$2:$C$16,3,FALSE)</f>
        <v>Otros gastos de explotación</v>
      </c>
      <c r="G372">
        <f>MONTH(A372)</f>
        <v>12</v>
      </c>
      <c r="H372" t="str">
        <f>"T"&amp;ROUNDUP(G372/3,0)</f>
        <v>T4</v>
      </c>
    </row>
    <row r="373" spans="1:8">
      <c r="A373" s="10">
        <v>46019</v>
      </c>
      <c r="B373">
        <v>372</v>
      </c>
      <c r="C373">
        <v>629</v>
      </c>
      <c r="D373" t="s">
        <v>205</v>
      </c>
      <c r="E373" s="9">
        <v>90.40000000000001</v>
      </c>
      <c r="F373" t="str">
        <f>VLOOKUP(C373,'Plan contable'!$A$2:$C$16,3,FALSE)</f>
        <v>Otros gastos de explotación</v>
      </c>
      <c r="G373">
        <f>MONTH(A373)</f>
        <v>12</v>
      </c>
      <c r="H373" t="str">
        <f>"T"&amp;ROUNDUP(G373/3,0)</f>
        <v>T4</v>
      </c>
    </row>
  </sheetData>
  <autoFilter ref="A1:H37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8.7109375" customWidth="1"/>
    <col min="2" max="2" width="44.7109375" customWidth="1"/>
    <col min="3" max="3" width="38.71093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>
        <v>700</v>
      </c>
      <c r="B2" t="s">
        <v>3</v>
      </c>
      <c r="C2" t="s">
        <v>4</v>
      </c>
    </row>
    <row r="3" spans="1:3">
      <c r="A3">
        <v>705</v>
      </c>
      <c r="B3" t="s">
        <v>5</v>
      </c>
      <c r="C3" t="s">
        <v>4</v>
      </c>
    </row>
    <row r="4" spans="1:3">
      <c r="A4">
        <v>600</v>
      </c>
      <c r="B4" t="s">
        <v>6</v>
      </c>
      <c r="C4" t="s">
        <v>7</v>
      </c>
    </row>
    <row r="5" spans="1:3">
      <c r="A5">
        <v>607</v>
      </c>
      <c r="B5" t="s">
        <v>8</v>
      </c>
      <c r="C5" t="s">
        <v>7</v>
      </c>
    </row>
    <row r="6" spans="1:3">
      <c r="A6">
        <v>640</v>
      </c>
      <c r="B6" t="s">
        <v>9</v>
      </c>
      <c r="C6" t="s">
        <v>10</v>
      </c>
    </row>
    <row r="7" spans="1:3">
      <c r="A7">
        <v>642</v>
      </c>
      <c r="B7" t="s">
        <v>11</v>
      </c>
      <c r="C7" t="s">
        <v>10</v>
      </c>
    </row>
    <row r="8" spans="1:3">
      <c r="A8">
        <v>621</v>
      </c>
      <c r="B8" t="s">
        <v>12</v>
      </c>
      <c r="C8" t="s">
        <v>13</v>
      </c>
    </row>
    <row r="9" spans="1:3">
      <c r="A9">
        <v>622</v>
      </c>
      <c r="B9" t="s">
        <v>14</v>
      </c>
      <c r="C9" t="s">
        <v>13</v>
      </c>
    </row>
    <row r="10" spans="1:3">
      <c r="A10">
        <v>623</v>
      </c>
      <c r="B10" t="s">
        <v>15</v>
      </c>
      <c r="C10" t="s">
        <v>13</v>
      </c>
    </row>
    <row r="11" spans="1:3">
      <c r="A11">
        <v>625</v>
      </c>
      <c r="B11" t="s">
        <v>16</v>
      </c>
      <c r="C11" t="s">
        <v>13</v>
      </c>
    </row>
    <row r="12" spans="1:3">
      <c r="A12">
        <v>627</v>
      </c>
      <c r="B12" t="s">
        <v>17</v>
      </c>
      <c r="C12" t="s">
        <v>13</v>
      </c>
    </row>
    <row r="13" spans="1:3">
      <c r="A13">
        <v>628</v>
      </c>
      <c r="B13" t="s">
        <v>18</v>
      </c>
      <c r="C13" t="s">
        <v>13</v>
      </c>
    </row>
    <row r="14" spans="1:3">
      <c r="A14">
        <v>629</v>
      </c>
      <c r="B14" t="s">
        <v>19</v>
      </c>
      <c r="C14" t="s">
        <v>13</v>
      </c>
    </row>
    <row r="15" spans="1:3">
      <c r="A15">
        <v>681</v>
      </c>
      <c r="B15" t="s">
        <v>20</v>
      </c>
      <c r="C15" t="s">
        <v>21</v>
      </c>
    </row>
    <row r="16" spans="1:3">
      <c r="A16">
        <v>662</v>
      </c>
      <c r="B16" t="s">
        <v>22</v>
      </c>
      <c r="C1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1" topLeftCell="A1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6" width="16.7109375" customWidth="1"/>
  </cols>
  <sheetData>
    <row r="1" spans="1:6">
      <c r="A1" s="1" t="s">
        <v>228</v>
      </c>
      <c r="B1" s="1"/>
      <c r="C1" s="1"/>
      <c r="D1" s="1"/>
      <c r="E1" s="1"/>
      <c r="F1" s="1"/>
    </row>
    <row r="3" spans="1:6">
      <c r="A3" t="s">
        <v>229</v>
      </c>
      <c r="B3" s="9">
        <v>150000</v>
      </c>
    </row>
    <row r="4" spans="1:6">
      <c r="A4" t="s">
        <v>230</v>
      </c>
      <c r="B4" s="11">
        <v>0.045</v>
      </c>
    </row>
    <row r="5" spans="1:6">
      <c r="A5" t="s">
        <v>231</v>
      </c>
      <c r="B5">
        <v>10</v>
      </c>
    </row>
    <row r="6" spans="1:6">
      <c r="A6" t="s">
        <v>232</v>
      </c>
      <c r="B6" s="10">
        <v>45672</v>
      </c>
    </row>
    <row r="7" spans="1:6">
      <c r="A7" t="s">
        <v>233</v>
      </c>
      <c r="B7" s="9">
        <f>PMT(B4/12,B5*12,-B3)</f>
        <v>1554.5761313552555</v>
      </c>
    </row>
    <row r="8" spans="1:6">
      <c r="A8" t="s">
        <v>234</v>
      </c>
      <c r="B8" s="9">
        <f>B7*B5*12-B3</f>
        <v>36549.13576263067</v>
      </c>
    </row>
    <row r="9" spans="1:6">
      <c r="A9" t="s">
        <v>235</v>
      </c>
      <c r="B9" s="10">
        <f>EOMONTH(B6,B5*12-1)</f>
        <v>49309.0</v>
      </c>
      <c r="C9" s="12">
        <f>B9</f>
        <v>49309.0</v>
      </c>
    </row>
    <row r="11" spans="1:6">
      <c r="A11" s="3" t="s">
        <v>236</v>
      </c>
      <c r="B11" s="3" t="s">
        <v>24</v>
      </c>
      <c r="C11" s="3" t="s">
        <v>237</v>
      </c>
      <c r="D11" s="3" t="s">
        <v>238</v>
      </c>
      <c r="E11" s="3" t="s">
        <v>239</v>
      </c>
      <c r="F11" s="3" t="s">
        <v>240</v>
      </c>
    </row>
    <row r="12" spans="1:6">
      <c r="A12">
        <v>1</v>
      </c>
      <c r="B12" s="10">
        <f>EOMONTH($B$6,A12-1)</f>
        <v>45688.0</v>
      </c>
      <c r="C12" s="9">
        <f>$B$7</f>
        <v>1554.5761313552555</v>
      </c>
      <c r="D12" s="9">
        <f>$B$3*$B$4/12</f>
        <v>562.5</v>
      </c>
      <c r="E12" s="9">
        <f>C12-D12</f>
        <v>992.0761313552555</v>
      </c>
      <c r="F12" s="9">
        <f>$B$3-E12</f>
        <v>149007.92386864475</v>
      </c>
    </row>
    <row r="13" spans="1:6">
      <c r="A13">
        <v>2</v>
      </c>
      <c r="B13" s="10">
        <f>EOMONTH($B$6,A13-1)</f>
        <v>45716.0</v>
      </c>
      <c r="C13" s="9">
        <f>$B$7</f>
        <v>1554.5761313552555</v>
      </c>
      <c r="D13" s="9">
        <f>F12*$B$4/12</f>
        <v>558.7797145074178</v>
      </c>
      <c r="E13" s="9">
        <f>C13-D13</f>
        <v>995.7964168478377</v>
      </c>
      <c r="F13" s="9">
        <f>F12-E13</f>
        <v>148012.1274517969</v>
      </c>
    </row>
    <row r="14" spans="1:6">
      <c r="A14">
        <v>3</v>
      </c>
      <c r="B14" s="10">
        <f>EOMONTH($B$6,A14-1)</f>
        <v>45747.0</v>
      </c>
      <c r="C14" s="9">
        <f>$B$7</f>
        <v>1554.5761313552555</v>
      </c>
      <c r="D14" s="9">
        <f>F13*$B$4/12</f>
        <v>555.0454779442383</v>
      </c>
      <c r="E14" s="9">
        <f>C14-D14</f>
        <v>999.5306534110172</v>
      </c>
      <c r="F14" s="9">
        <f>F13-E14</f>
        <v>147012.59679838587</v>
      </c>
    </row>
    <row r="15" spans="1:6">
      <c r="A15">
        <v>4</v>
      </c>
      <c r="B15" s="10">
        <f>EOMONTH($B$6,A15-1)</f>
        <v>45777.0</v>
      </c>
      <c r="C15" s="9">
        <f>$B$7</f>
        <v>1554.5761313552555</v>
      </c>
      <c r="D15" s="9">
        <f>F14*$B$4/12</f>
        <v>551.297237993947</v>
      </c>
      <c r="E15" s="9">
        <f>C15-D15</f>
        <v>1003.2788933613085</v>
      </c>
      <c r="F15" s="9">
        <f>F14-E15</f>
        <v>146009.31790502457</v>
      </c>
    </row>
    <row r="16" spans="1:6">
      <c r="A16">
        <v>5</v>
      </c>
      <c r="B16" s="10">
        <f>EOMONTH($B$6,A16-1)</f>
        <v>45808.0</v>
      </c>
      <c r="C16" s="9">
        <f>$B$7</f>
        <v>1554.5761313552555</v>
      </c>
      <c r="D16" s="9">
        <f>F15*$B$4/12</f>
        <v>547.5349421438422</v>
      </c>
      <c r="E16" s="9">
        <f>C16-D16</f>
        <v>1007.0411892114133</v>
      </c>
      <c r="F16" s="9">
        <f>F15-E16</f>
        <v>145002.27671581315</v>
      </c>
    </row>
    <row r="17" spans="1:6">
      <c r="A17">
        <v>6</v>
      </c>
      <c r="B17" s="10">
        <f>EOMONTH($B$6,A17-1)</f>
        <v>45838.0</v>
      </c>
      <c r="C17" s="9">
        <f>$B$7</f>
        <v>1554.5761313552555</v>
      </c>
      <c r="D17" s="9">
        <f>F16*$B$4/12</f>
        <v>543.7585376842993</v>
      </c>
      <c r="E17" s="9">
        <f>C17-D17</f>
        <v>1010.8175936709562</v>
      </c>
      <c r="F17" s="9">
        <f>F16-E17</f>
        <v>143991.4591221422</v>
      </c>
    </row>
    <row r="18" spans="1:6">
      <c r="A18">
        <v>7</v>
      </c>
      <c r="B18" s="10">
        <f>EOMONTH($B$6,A18-1)</f>
        <v>45869.0</v>
      </c>
      <c r="C18" s="9">
        <f>$B$7</f>
        <v>1554.5761313552555</v>
      </c>
      <c r="D18" s="9">
        <f>F17*$B$4/12</f>
        <v>539.9679717080332</v>
      </c>
      <c r="E18" s="9">
        <f>C18-D18</f>
        <v>1014.6081596472222</v>
      </c>
      <c r="F18" s="9">
        <f>F17-E18</f>
        <v>142976.85096249497</v>
      </c>
    </row>
    <row r="19" spans="1:6">
      <c r="A19">
        <v>8</v>
      </c>
      <c r="B19" s="10">
        <f>EOMONTH($B$6,A19-1)</f>
        <v>45900.0</v>
      </c>
      <c r="C19" s="9">
        <f>$B$7</f>
        <v>1554.5761313552555</v>
      </c>
      <c r="D19" s="9">
        <f>F18*$B$4/12</f>
        <v>536.163191109356</v>
      </c>
      <c r="E19" s="9">
        <f>C19-D19</f>
        <v>1018.4129402458994</v>
      </c>
      <c r="F19" s="9">
        <f>F18-E19</f>
        <v>141958.43802224906</v>
      </c>
    </row>
    <row r="20" spans="1:6">
      <c r="A20">
        <v>9</v>
      </c>
      <c r="B20" s="10">
        <f>EOMONTH($B$6,A20-1)</f>
        <v>45930.0</v>
      </c>
      <c r="C20" s="9">
        <f>$B$7</f>
        <v>1554.5761313552555</v>
      </c>
      <c r="D20" s="9">
        <f>F19*$B$4/12</f>
        <v>532.344142583434</v>
      </c>
      <c r="E20" s="9">
        <f>C20-D20</f>
        <v>1022.2319887718215</v>
      </c>
      <c r="F20" s="9">
        <f>F19-E20</f>
        <v>140936.20603347724</v>
      </c>
    </row>
    <row r="21" spans="1:6">
      <c r="A21">
        <v>10</v>
      </c>
      <c r="B21" s="10">
        <f>EOMONTH($B$6,A21-1)</f>
        <v>45961.0</v>
      </c>
      <c r="C21" s="9">
        <f>$B$7</f>
        <v>1554.5761313552555</v>
      </c>
      <c r="D21" s="9">
        <f>F20*$B$4/12</f>
        <v>528.5107726255396</v>
      </c>
      <c r="E21" s="9">
        <f>C21-D21</f>
        <v>1026.0653587297159</v>
      </c>
      <c r="F21" s="9">
        <f>F20-E21</f>
        <v>139910.14067474753</v>
      </c>
    </row>
    <row r="22" spans="1:6">
      <c r="A22">
        <v>11</v>
      </c>
      <c r="B22" s="10">
        <f>EOMONTH($B$6,A22-1)</f>
        <v>45991.0</v>
      </c>
      <c r="C22" s="9">
        <f>$B$7</f>
        <v>1554.5761313552555</v>
      </c>
      <c r="D22" s="9">
        <f>F21*$B$4/12</f>
        <v>524.6630275303032</v>
      </c>
      <c r="E22" s="9">
        <f>C22-D22</f>
        <v>1029.9131038249523</v>
      </c>
      <c r="F22" s="9">
        <f>F21-E22</f>
        <v>138880.22757092258</v>
      </c>
    </row>
    <row r="23" spans="1:6">
      <c r="A23">
        <v>12</v>
      </c>
      <c r="B23" s="10">
        <f>EOMONTH($B$6,A23-1)</f>
        <v>46022.0</v>
      </c>
      <c r="C23" s="9">
        <f>$B$7</f>
        <v>1554.5761313552555</v>
      </c>
      <c r="D23" s="9">
        <f>F22*$B$4/12</f>
        <v>520.8008533909597</v>
      </c>
      <c r="E23" s="9">
        <f>C23-D23</f>
        <v>1033.7752779642958</v>
      </c>
      <c r="F23" s="9">
        <f>F22-E23</f>
        <v>137846.45229295827</v>
      </c>
    </row>
    <row r="24" spans="1:6">
      <c r="A24">
        <v>13</v>
      </c>
      <c r="B24" s="10">
        <f>EOMONTH($B$6,A24-1)</f>
        <v>46053.0</v>
      </c>
      <c r="C24" s="9">
        <f>$B$7</f>
        <v>1554.5761313552555</v>
      </c>
      <c r="D24" s="9">
        <f>F23*$B$4/12</f>
        <v>516.9241960985935</v>
      </c>
      <c r="E24" s="9">
        <f>C24-D24</f>
        <v>1037.651935256662</v>
      </c>
      <c r="F24" s="9">
        <f>F23-E24</f>
        <v>136808.8003577016</v>
      </c>
    </row>
    <row r="25" spans="1:6">
      <c r="A25">
        <v>14</v>
      </c>
      <c r="B25" s="10">
        <f>EOMONTH($B$6,A25-1)</f>
        <v>46081.0</v>
      </c>
      <c r="C25" s="9">
        <f>$B$7</f>
        <v>1554.5761313552555</v>
      </c>
      <c r="D25" s="9">
        <f>F24*$B$4/12</f>
        <v>513.033001341381</v>
      </c>
      <c r="E25" s="9">
        <f>C25-D25</f>
        <v>1041.5431300138744</v>
      </c>
      <c r="F25" s="9">
        <f>F24-E25</f>
        <v>135767.25722768772</v>
      </c>
    </row>
    <row r="26" spans="1:6">
      <c r="A26">
        <v>15</v>
      </c>
      <c r="B26" s="10">
        <f>EOMONTH($B$6,A26-1)</f>
        <v>46112.0</v>
      </c>
      <c r="C26" s="9">
        <f>$B$7</f>
        <v>1554.5761313552555</v>
      </c>
      <c r="D26" s="9">
        <f>F25*$B$4/12</f>
        <v>509.1272146038289</v>
      </c>
      <c r="E26" s="9">
        <f>C26-D26</f>
        <v>1045.4489167514266</v>
      </c>
      <c r="F26" s="9">
        <f>F25-E26</f>
        <v>134721.8083109363</v>
      </c>
    </row>
    <row r="27" spans="1:6">
      <c r="A27">
        <v>16</v>
      </c>
      <c r="B27" s="10">
        <f>EOMONTH($B$6,A27-1)</f>
        <v>46142.0</v>
      </c>
      <c r="C27" s="9">
        <f>$B$7</f>
        <v>1554.5761313552555</v>
      </c>
      <c r="D27" s="9">
        <f>F26*$B$4/12</f>
        <v>505.20678116601107</v>
      </c>
      <c r="E27" s="9">
        <f>C27-D27</f>
        <v>1049.3693501892444</v>
      </c>
      <c r="F27" s="9">
        <f>F26-E27</f>
        <v>133672.43896074704</v>
      </c>
    </row>
    <row r="28" spans="1:6">
      <c r="A28">
        <v>17</v>
      </c>
      <c r="B28" s="10">
        <f>EOMONTH($B$6,A28-1)</f>
        <v>46173.0</v>
      </c>
      <c r="C28" s="9">
        <f>$B$7</f>
        <v>1554.5761313552555</v>
      </c>
      <c r="D28" s="9">
        <f>F27*$B$4/12</f>
        <v>501.2716461028014</v>
      </c>
      <c r="E28" s="9">
        <f>C28-D28</f>
        <v>1053.304485252454</v>
      </c>
      <c r="F28" s="9">
        <f>F27-E28</f>
        <v>132619.1344754946</v>
      </c>
    </row>
    <row r="29" spans="1:6">
      <c r="A29">
        <v>18</v>
      </c>
      <c r="B29" s="10">
        <f>EOMONTH($B$6,A29-1)</f>
        <v>46203.0</v>
      </c>
      <c r="C29" s="9">
        <f>$B$7</f>
        <v>1554.5761313552555</v>
      </c>
      <c r="D29" s="9">
        <f>F28*$B$4/12</f>
        <v>497.32175428310467</v>
      </c>
      <c r="E29" s="9">
        <f>C29-D29</f>
        <v>1057.2543770721509</v>
      </c>
      <c r="F29" s="9">
        <f>F28-E29</f>
        <v>131561.88009842244</v>
      </c>
    </row>
    <row r="30" spans="1:6">
      <c r="A30">
        <v>19</v>
      </c>
      <c r="B30" s="10">
        <f>EOMONTH($B$6,A30-1)</f>
        <v>46234.0</v>
      </c>
      <c r="C30" s="9">
        <f>$B$7</f>
        <v>1554.5761313552555</v>
      </c>
      <c r="D30" s="9">
        <f>F29*$B$4/12</f>
        <v>493.3570503690841</v>
      </c>
      <c r="E30" s="9">
        <f>C30-D30</f>
        <v>1061.2190809861713</v>
      </c>
      <c r="F30" s="9">
        <f>F29-E30</f>
        <v>130500.66101743627</v>
      </c>
    </row>
    <row r="31" spans="1:6">
      <c r="A31">
        <v>20</v>
      </c>
      <c r="B31" s="10">
        <f>EOMONTH($B$6,A31-1)</f>
        <v>46265.0</v>
      </c>
      <c r="C31" s="9">
        <f>$B$7</f>
        <v>1554.5761313552555</v>
      </c>
      <c r="D31" s="9">
        <f>F30*$B$4/12</f>
        <v>489.377478815386</v>
      </c>
      <c r="E31" s="9">
        <f>C31-D31</f>
        <v>1065.1986525398695</v>
      </c>
      <c r="F31" s="9">
        <f>F30-E31</f>
        <v>129435.4623648964</v>
      </c>
    </row>
    <row r="32" spans="1:6">
      <c r="A32">
        <v>21</v>
      </c>
      <c r="B32" s="10">
        <f>EOMONTH($B$6,A32-1)</f>
        <v>46295.0</v>
      </c>
      <c r="C32" s="9">
        <f>$B$7</f>
        <v>1554.5761313552555</v>
      </c>
      <c r="D32" s="9">
        <f>F31*$B$4/12</f>
        <v>485.38298386836146</v>
      </c>
      <c r="E32" s="9">
        <f>C32-D32</f>
        <v>1069.193147486894</v>
      </c>
      <c r="F32" s="9">
        <f>F31-E32</f>
        <v>128366.26921740951</v>
      </c>
    </row>
    <row r="33" spans="1:6">
      <c r="A33">
        <v>22</v>
      </c>
      <c r="B33" s="10">
        <f>EOMONTH($B$6,A33-1)</f>
        <v>46326.0</v>
      </c>
      <c r="C33" s="9">
        <f>$B$7</f>
        <v>1554.5761313552555</v>
      </c>
      <c r="D33" s="9">
        <f>F32*$B$4/12</f>
        <v>481.3735095652857</v>
      </c>
      <c r="E33" s="9">
        <f>C33-D33</f>
        <v>1073.2026217899697</v>
      </c>
      <c r="F33" s="9">
        <f>F32-E33</f>
        <v>127293.06659561954</v>
      </c>
    </row>
    <row r="34" spans="1:6">
      <c r="A34">
        <v>23</v>
      </c>
      <c r="B34" s="10">
        <f>EOMONTH($B$6,A34-1)</f>
        <v>46356.0</v>
      </c>
      <c r="C34" s="9">
        <f>$B$7</f>
        <v>1554.5761313552555</v>
      </c>
      <c r="D34" s="9">
        <f>F33*$B$4/12</f>
        <v>477.34899973357324</v>
      </c>
      <c r="E34" s="9">
        <f>C34-D34</f>
        <v>1077.2271316216822</v>
      </c>
      <c r="F34" s="9">
        <f>F33-E34</f>
        <v>126215.83946399787</v>
      </c>
    </row>
    <row r="35" spans="1:6">
      <c r="A35">
        <v>24</v>
      </c>
      <c r="B35" s="10">
        <f>EOMONTH($B$6,A35-1)</f>
        <v>46387.0</v>
      </c>
      <c r="C35" s="9">
        <f>$B$7</f>
        <v>1554.5761313552555</v>
      </c>
      <c r="D35" s="9">
        <f>F34*$B$4/12</f>
        <v>473.30939798999196</v>
      </c>
      <c r="E35" s="9">
        <f>C35-D35</f>
        <v>1081.2667333652635</v>
      </c>
      <c r="F35" s="9">
        <f>F34-E35</f>
        <v>125134.5727306326</v>
      </c>
    </row>
    <row r="36" spans="1:6">
      <c r="A36" s="6" t="s">
        <v>241</v>
      </c>
      <c r="C36" s="13">
        <f>SUM(C12:C35)</f>
        <v>37309.82715252612</v>
      </c>
      <c r="D36" s="13">
        <f>SUM(D12:D35)</f>
        <v>12444.399883158774</v>
      </c>
      <c r="E36" s="13">
        <f>SUM(E12:E35)</f>
        <v>24865.427269367356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34.7109375" customWidth="1"/>
    <col min="2" max="2" width="16.7109375" customWidth="1"/>
  </cols>
  <sheetData>
    <row r="1" spans="1:3">
      <c r="A1" s="1" t="s">
        <v>242</v>
      </c>
      <c r="B1" s="1"/>
      <c r="C1" s="1"/>
    </row>
    <row r="3" spans="1:3">
      <c r="A3" t="s">
        <v>243</v>
      </c>
      <c r="B3" s="5">
        <v>0.08</v>
      </c>
    </row>
    <row r="5" spans="1:3">
      <c r="A5" s="3" t="s">
        <v>244</v>
      </c>
      <c r="B5" s="3" t="s">
        <v>245</v>
      </c>
    </row>
    <row r="6" spans="1:3">
      <c r="A6">
        <v>0</v>
      </c>
      <c r="B6" s="4">
        <v>-50000</v>
      </c>
    </row>
    <row r="7" spans="1:3">
      <c r="A7">
        <v>1</v>
      </c>
      <c r="B7" s="4">
        <v>12000</v>
      </c>
    </row>
    <row r="8" spans="1:3">
      <c r="A8">
        <v>2</v>
      </c>
      <c r="B8" s="4">
        <v>15000</v>
      </c>
    </row>
    <row r="9" spans="1:3">
      <c r="A9">
        <v>3</v>
      </c>
      <c r="B9" s="4">
        <v>18000</v>
      </c>
    </row>
    <row r="10" spans="1:3">
      <c r="A10">
        <v>4</v>
      </c>
      <c r="B10" s="4">
        <v>20000</v>
      </c>
    </row>
    <row r="11" spans="1:3">
      <c r="A11">
        <v>5</v>
      </c>
      <c r="B11" s="4">
        <v>22000</v>
      </c>
    </row>
    <row r="13" spans="1:3">
      <c r="A13" t="s">
        <v>246</v>
      </c>
      <c r="B13" s="4">
        <f>NPV(B3,B7:B11)+B6</f>
        <v>17933.601144672546</v>
      </c>
    </row>
    <row r="14" spans="1:3">
      <c r="A14" t="s">
        <v>247</v>
      </c>
      <c r="B14" s="11">
        <f>IRR(B6:B11)</f>
        <v>0.19442495225528997</v>
      </c>
    </row>
    <row r="15" spans="1:3">
      <c r="A15" t="s">
        <v>248</v>
      </c>
      <c r="B15" s="9">
        <f>FV(0.03/12,60,-300,0,0)</f>
        <v>19394.01378663246</v>
      </c>
    </row>
    <row r="16" spans="1:3">
      <c r="A16" t="s">
        <v>249</v>
      </c>
      <c r="B16" s="14">
        <f>ROUND(3+(-(B6+B7+B8+B9))/B10,2)</f>
        <v>3.25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PyG</vt:lpstr>
      <vt:lpstr>Diario</vt:lpstr>
      <vt:lpstr>Plan contable</vt:lpstr>
      <vt:lpstr>Préstamo</vt:lpstr>
      <vt:lpstr>Inversión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cuenta_resultados.xlsx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
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" sheetId="1" r:id="rId1"/>
    <sheet name="Registro" sheetId="2" r:id="rId2"/>
  </sheets>
  <calcPr calcId="124519" fullCalcOnLoad="1"/>
</workbook>
</file>

<file path=xl/sharedStrings.xml><?xml version="1.0" encoding="utf-8"?>
<sst xmlns="http://schemas.openxmlformats.org/spreadsheetml/2006/main" count="94" uniqueCount="70">
  <si>
    <t>Talleres Martínez S.L.
CIF B12345678
C/ Mayor, 15 - 28013 Madrid
Tel. 912 345 678</t>
  </si>
  <si>
    <t>FACTURA</t>
  </si>
  <si>
    <t>Nº</t>
  </si>
  <si>
    <t>2025-0042</t>
  </si>
  <si>
    <t>Fecha</t>
  </si>
  <si>
    <t>Vencimiento</t>
  </si>
  <si>
    <t>Cliente:</t>
  </si>
  <si>
    <t>Distribuciones Núñez S.A.</t>
  </si>
  <si>
    <t>NIF A87654321</t>
  </si>
  <si>
    <t>Avda. de la Constitución, 3 - 41001 Sevilla</t>
  </si>
  <si>
    <t>Concepto</t>
  </si>
  <si>
    <t>Cantidad</t>
  </si>
  <si>
    <t>Precio unitario</t>
  </si>
  <si>
    <t>Dto.</t>
  </si>
  <si>
    <t>IVA</t>
  </si>
  <si>
    <t>Base imponible</t>
  </si>
  <si>
    <t>Cuota IVA</t>
  </si>
  <si>
    <t>Total</t>
  </si>
  <si>
    <t>Revisión general vehículo</t>
  </si>
  <si>
    <t>Aceite sintético 5W30 (litros)</t>
  </si>
  <si>
    <t>Filtro de aceite</t>
  </si>
  <si>
    <t>Pastillas de freno delanteras</t>
  </si>
  <si>
    <t>Mano de obra (horas)</t>
  </si>
  <si>
    <t>Libro de mantenimiento</t>
  </si>
  <si>
    <t>Servicio de recogida a domicilio</t>
  </si>
  <si>
    <t>Lavado interior</t>
  </si>
  <si>
    <t>Base 21 %</t>
  </si>
  <si>
    <t>Base 10 %</t>
  </si>
  <si>
    <t>Base 4 %</t>
  </si>
  <si>
    <t>Total IVA</t>
  </si>
  <si>
    <t>Retención IRPF mano de obra</t>
  </si>
  <si>
    <t>TOTAL FACTURA</t>
  </si>
  <si>
    <t>Cuadre</t>
  </si>
  <si>
    <t>Forma de pago: transferencia bancaria a 30 días</t>
  </si>
  <si>
    <t>IBAN: ES91 2100 0418 4502 0005 1332</t>
  </si>
  <si>
    <t>Fecha de referencia</t>
  </si>
  <si>
    <t>Cliente</t>
  </si>
  <si>
    <t>Base</t>
  </si>
  <si>
    <t>Cobrada</t>
  </si>
  <si>
    <t>Días de retraso</t>
  </si>
  <si>
    <t>2025-0036</t>
  </si>
  <si>
    <t>Panadería Peña</t>
  </si>
  <si>
    <t>2025-0037</t>
  </si>
  <si>
    <t>2025-0038</t>
  </si>
  <si>
    <t>Transportes Gil S.L.</t>
  </si>
  <si>
    <t>2025-0039</t>
  </si>
  <si>
    <t>2025-0040</t>
  </si>
  <si>
    <t>2025-0041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</si>
  <si>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</si>
  <si>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</si>
  <si>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</si>
  <si>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</si>
  <si>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</si>
  <si>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</si>
  <si>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</si>
  <si>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</si>
  <si>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</si>
  <si>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Clínica Dental Ibáñez</t>
  </si>
  <si>
    <t>2025-0052</t>
  </si>
  <si>
    <t>2025-0053</t>
  </si>
  <si>
    <t>2025-0054</t>
  </si>
  <si>
    <t>2025-0055</t>
  </si>
  <si>
    <t>Trimestre</t>
  </si>
  <si>
    <t>Facturado</t>
  </si>
  <si>
    <t>T1</t>
  </si>
  <si>
    <t>T2</t>
  </si>
  <si>
    <t>T3</t>
  </si>
  <si>
    <t>T4</t>
  </si>
  <si>
    <t>Pendiente de cobro</t>
  </si>
  <si>
    <t>Facturas cobradas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</si>
</sst>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 &quot;€&quot;"/>
    <numFmt numFmtId="166" formatCode="0%"/>
    <numFmt numFmtId="167" formatCode="#,##0.00 &quot;€&quot;;[Red]-#,##0.00 &quot;€&quot;"/>
  </numFmts>
  <fonts count="5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34.7109375" customWidth="1"/>
    <col min="2" max="2" width="9.7109375" customWidth="1"/>
    <col min="3" max="3" width="14.7109375" customWidth="1"/>
    <col min="4" max="4" width="7.7109375" customWidth="1"/>
    <col min="5" max="5" width="18.7109375" customWidth="1"/>
    <col min="6" max="6" width="15.7109375" customWidth="1"/>
    <col min="7" max="8" width="12.7109375" customWidth="1"/>
  </cols>
  <sheetData>
    <row r="1" spans="1:8" ht="18" customHeight="1">
      <c r="A1" s="1" t="s">
        <v>0</v>
      </c>
      <c r="B1" s="1"/>
      <c r="C1" s="1"/>
      <c r="D1" s="1"/>
      <c r="F1" s="2" t="s">
        <v>1</v>
      </c>
    </row>
    <row r="2" spans="1:8" ht="18" customHeight="1">
      <c r="A2" s="1"/>
      <c r="B2" s="1"/>
      <c r="C2" s="1"/>
      <c r="D2" s="1"/>
      <c r="F2" t="s">
        <v>2</v>
      </c>
      <c r="G2" t="s">
        <v>3</v>
      </c>
    </row>
    <row r="3" spans="1:8" ht="18" customHeight="1">
      <c r="A3" s="1"/>
      <c r="B3" s="1"/>
      <c r="C3" s="1"/>
      <c r="D3" s="1"/>
      <c r="F3" t="s">
        <v>4</v>
      </c>
      <c r="G3" s="3">
        <v>45702</v>
      </c>
    </row>
    <row r="4" spans="1:8" ht="18" customHeight="1">
      <c r="A4" s="1"/>
      <c r="B4" s="1"/>
      <c r="C4" s="1"/>
      <c r="D4" s="1"/>
      <c r="F4" t="s">
        <v>5</v>
      </c>
      <c r="G4" s="3">
        <f>G3+30</f>
        <v>45732.0</v>
      </c>
    </row>
    <row r="6" spans="1:8">
      <c r="A6" s="4" t="s">
        <v>6</v>
      </c>
      <c r="B6" t="s">
        <v>7</v>
      </c>
    </row>
    <row r="7" spans="1:8">
      <c r="B7" t="s">
        <v>8</v>
      </c>
    </row>
    <row r="8" spans="1:8">
      <c r="B8" t="s">
        <v>9</v>
      </c>
    </row>
    <row r="10" spans="1:8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</row>
    <row r="11" spans="1:8">
      <c r="A11" t="s">
        <v>18</v>
      </c>
      <c r="B11">
        <v>1</v>
      </c>
      <c r="C11" s="6">
        <v>180</v>
      </c>
      <c r="D11" s="7">
        <v>0</v>
      </c>
      <c r="E11" s="7">
        <v>0.21</v>
      </c>
      <c r="F11" s="6">
        <f>ROUND(B11*C11*(1-D11),2)</f>
        <v>180.0</v>
      </c>
      <c r="G11" s="6">
        <f>ROUND(F11*E11,2)</f>
        <v>37.8</v>
      </c>
      <c r="H11" s="6">
        <f>F11+G11</f>
        <v>217.8</v>
      </c>
    </row>
    <row r="12" spans="1:8">
      <c r="A12" t="s">
        <v>19</v>
      </c>
      <c r="B12">
        <v>5</v>
      </c>
      <c r="C12" s="6">
        <v>12.4</v>
      </c>
      <c r="D12" s="7">
        <v>0.1</v>
      </c>
      <c r="E12" s="7">
        <v>0.21</v>
      </c>
      <c r="F12" s="6">
        <f>ROUND(B12*C12*(1-D12),2)</f>
        <v>55.8</v>
      </c>
      <c r="G12" s="6">
        <f>ROUND(F12*E12,2)</f>
        <v>11.72</v>
      </c>
      <c r="H12" s="6">
        <f>F12+G12</f>
        <v>67.52</v>
      </c>
    </row>
    <row r="13" spans="1:8">
      <c r="A13" t="s">
        <v>20</v>
      </c>
      <c r="B13">
        <v>1</v>
      </c>
      <c r="C13" s="6">
        <v>14.95</v>
      </c>
      <c r="D13" s="7">
        <v>0</v>
      </c>
      <c r="E13" s="7">
        <v>0.21</v>
      </c>
      <c r="F13" s="6">
        <f>ROUND(B13*C13*(1-D13),2)</f>
        <v>14.95</v>
      </c>
      <c r="G13" s="6">
        <f>ROUND(F13*E13,2)</f>
        <v>3.14</v>
      </c>
      <c r="H13" s="6">
        <f>F13+G13</f>
        <v>18.09</v>
      </c>
    </row>
    <row r="14" spans="1:8">
      <c r="A14" t="s">
        <v>21</v>
      </c>
      <c r="B14">
        <v>2</v>
      </c>
      <c r="C14" s="6">
        <v>38.5</v>
      </c>
      <c r="D14" s="7">
        <v>0.05</v>
      </c>
      <c r="E14" s="7">
        <v>0.21</v>
      </c>
      <c r="F14" s="6">
        <f>ROUND(B14*C14*(1-D14),2)</f>
        <v>73.15</v>
      </c>
      <c r="G14" s="6">
        <f>ROUND(F14*E14,2)</f>
        <v>15.36</v>
      </c>
      <c r="H14" s="6">
        <f>F14+G14</f>
        <v>88.51</v>
      </c>
    </row>
    <row r="15" spans="1:8">
      <c r="A15" t="s">
        <v>22</v>
      </c>
      <c r="B15">
        <v>3.5</v>
      </c>
      <c r="C15" s="6">
        <v>42</v>
      </c>
      <c r="D15" s="7">
        <v>0</v>
      </c>
      <c r="E15" s="7">
        <v>0.21</v>
      </c>
      <c r="F15" s="6">
        <f>ROUND(B15*C15*(1-D15),2)</f>
        <v>147.0</v>
      </c>
      <c r="G15" s="6">
        <f>ROUND(F15*E15,2)</f>
        <v>30.87</v>
      </c>
      <c r="H15" s="6">
        <f>F15+G15</f>
        <v>177.87</v>
      </c>
    </row>
    <row r="16" spans="1:8">
      <c r="A16" t="s">
        <v>23</v>
      </c>
      <c r="B16">
        <v>1</v>
      </c>
      <c r="C16" s="6">
        <v>9.9</v>
      </c>
      <c r="D16" s="7">
        <v>0</v>
      </c>
      <c r="E16" s="7">
        <v>0.04</v>
      </c>
      <c r="F16" s="6">
        <f>ROUND(B16*C16*(1-D16),2)</f>
        <v>9.9</v>
      </c>
      <c r="G16" s="6">
        <f>ROUND(F16*E16,2)</f>
        <v>0.4</v>
      </c>
      <c r="H16" s="6">
        <f>F16+G16</f>
        <v>10.3</v>
      </c>
    </row>
    <row r="17" spans="1:8">
      <c r="A17" t="s">
        <v>24</v>
      </c>
      <c r="B17">
        <v>1</v>
      </c>
      <c r="C17" s="6">
        <v>25</v>
      </c>
      <c r="D17" s="7">
        <v>0</v>
      </c>
      <c r="E17" s="7">
        <v>0.1</v>
      </c>
      <c r="F17" s="6">
        <f>ROUND(B17*C17*(1-D17),2)</f>
        <v>25.0</v>
      </c>
      <c r="G17" s="6">
        <f>ROUND(F17*E17,2)</f>
        <v>2.5</v>
      </c>
      <c r="H17" s="6">
        <f>F17+G17</f>
        <v>27.5</v>
      </c>
    </row>
    <row r="18" spans="1:8">
      <c r="A18" t="s">
        <v>25</v>
      </c>
      <c r="B18">
        <v>1</v>
      </c>
      <c r="C18" s="6">
        <v>18</v>
      </c>
      <c r="D18" s="7">
        <v>0.15</v>
      </c>
      <c r="E18" s="7">
        <v>0.21</v>
      </c>
      <c r="F18" s="6">
        <f>ROUND(B18*C18*(1-D18),2)</f>
        <v>15.3</v>
      </c>
      <c r="G18" s="6">
        <f>ROUND(F18*E18,2)</f>
        <v>3.21</v>
      </c>
      <c r="H18" s="6">
        <f>F18+G18</f>
        <v>18.51</v>
      </c>
    </row>
    <row r="20" spans="1:8">
      <c r="D20" s="7">
        <v>0.21</v>
      </c>
      <c r="E20" t="s">
        <v>26</v>
      </c>
      <c r="F20" s="6">
        <f>SUMIF($E$11:$E$18,D20,$F$11:$F$18)</f>
        <v>486.2</v>
      </c>
      <c r="G20" s="6">
        <f>ROUND(F20*D20,2)</f>
        <v>102.1</v>
      </c>
    </row>
    <row r="21" spans="1:8">
      <c r="D21" s="7">
        <v>0.1</v>
      </c>
      <c r="E21" t="s">
        <v>27</v>
      </c>
      <c r="F21" s="6">
        <f>SUMIF($E$11:$E$18,D21,$F$11:$F$18)</f>
        <v>25.0</v>
      </c>
      <c r="G21" s="6">
        <f>ROUND(F21*D21,2)</f>
        <v>2.5</v>
      </c>
    </row>
    <row r="22" spans="1:8">
      <c r="D22" s="7">
        <v>0.04</v>
      </c>
      <c r="E22" t="s">
        <v>28</v>
      </c>
      <c r="F22" s="6">
        <f>SUMIF($E$11:$E$18,D22,$F$11:$F$18)</f>
        <v>9.9</v>
      </c>
      <c r="G22" s="6">
        <f>ROUND(F22*D22,2)</f>
        <v>0.4</v>
      </c>
    </row>
    <row r="24" spans="1:8">
      <c r="E24" s="4" t="s">
        <v>15</v>
      </c>
      <c r="F24" s="6">
        <f>SUM(F11:F18)</f>
        <v>521.1</v>
      </c>
    </row>
    <row r="25" spans="1:8">
      <c r="E25" s="4" t="s">
        <v>29</v>
      </c>
      <c r="F25" s="6">
        <f>SUM(G20:G22)</f>
        <v>105.0</v>
      </c>
    </row>
    <row r="26" spans="1:8">
      <c r="E26" t="s">
        <v>30</v>
      </c>
      <c r="F26" s="8">
        <f>-ROUND(F15*15%,2)</f>
        <v>-22.05</v>
      </c>
    </row>
    <row r="27" spans="1:8">
      <c r="E27" s="4" t="s">
        <v>31</v>
      </c>
      <c r="F27" s="9">
        <f>F24+F25+F26</f>
        <v>604.05</v>
      </c>
    </row>
    <row r="28" spans="1:8">
      <c r="E28" t="s">
        <v>32</v>
      </c>
      <c r="F28" t="str">
        <f>IF(ABS(SUM(H11:H18)-(F24+F25))&lt;0.05,"OK","Revisar")</f>
        <v>OK</v>
      </c>
    </row>
    <row r="30" spans="1:8">
      <c r="A30" t="s">
        <v>33</v>
      </c>
    </row>
    <row r="31" spans="1:8">
      <c r="A31" t="s">
        <v>34</v>
      </c>
    </row>
  </sheetData>
  <mergeCells count="1">
    <mergeCell ref="A1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26.7109375" customWidth="1"/>
    <col min="4" max="7" width="12.7109375" customWidth="1"/>
    <col min="8" max="8" width="9.7109375" customWidth="1"/>
    <col min="9" max="9" width="14.7109375" customWidth="1"/>
    <col min="10" max="10" width="18.7109375" customWidth="1"/>
    <col min="11" max="11" width="11.7109375" customWidth="1"/>
  </cols>
  <sheetData>
    <row r="1" spans="1:11">
      <c r="A1" s="5" t="s">
        <v>2</v>
      </c>
      <c r="B1" s="5" t="s">
        <v>4</v>
      </c>
      <c r="C1" s="5" t="s">
        <v>36</v>
      </c>
      <c r="D1" s="5" t="s">
        <v>37</v>
      </c>
      <c r="E1" s="5" t="s">
        <v>14</v>
      </c>
      <c r="F1" s="5" t="s">
        <v>16</v>
      </c>
      <c r="G1" s="5" t="s">
        <v>17</v>
      </c>
      <c r="H1" s="5" t="s">
        <v>38</v>
      </c>
      <c r="I1" s="5" t="s">
        <v>39</v>
      </c>
      <c r="J1" s="4" t="s">
        <v>35</v>
      </c>
      <c r="K1" s="3">
        <v>45838</v>
      </c>
    </row>
    <row r="2" spans="1:11">
      <c r="A2" t="s">
        <v>40</v>
      </c>
      <c r="B2" s="3">
        <v>45665</v>
      </c>
      <c r="C2" t="s">
        <v>41</v>
      </c>
      <c r="D2" s="6">
        <v>821.86</v>
      </c>
      <c r="E2" s="7">
        <v>0.1</v>
      </c>
      <c r="F2" s="6">
        <f>ROUND(D2*E2,2)</f>
        <v>82.19</v>
      </c>
      <c r="G2" s="6">
        <f>D2+F2</f>
        <v>904.05</v>
      </c>
      <c r="H2" t="b">
        <v>1</v>
      </c>
      <c r="I2">
        <f>IF(H2,0,MAX(0,$K$1-B2-30))</f>
        <v>0</v>
      </c>
    </row>
    <row r="3" spans="1:11">
      <c r="A3" t="s">
        <v>42</v>
      </c>
      <c r="B3" s="3">
        <v>45682</v>
      </c>
      <c r="C3" t="s">
        <v>41</v>
      </c>
      <c r="D3" s="6">
        <v>1533.07</v>
      </c>
      <c r="E3" s="7">
        <v>0.21</v>
      </c>
      <c r="F3" s="6">
        <f>ROUND(D3*E3,2)</f>
        <v>321.94</v>
      </c>
      <c r="G3" s="6">
        <f>D3+F3</f>
        <v>1855.01</v>
      </c>
      <c r="H3" t="b">
        <v>1</v>
      </c>
      <c r="I3">
        <f>IF(H3,0,MAX(0,$K$1-B3-30))</f>
        <v>0</v>
      </c>
    </row>
    <row r="4" spans="1:11">
      <c r="A4" t="s">
        <v>43</v>
      </c>
      <c r="B4" s="3">
        <v>45704</v>
      </c>
      <c r="C4" t="s">
        <v>44</v>
      </c>
      <c r="D4" s="6">
        <v>2649.92</v>
      </c>
      <c r="E4" s="7">
        <v>0.21</v>
      </c>
      <c r="F4" s="6">
        <f>ROUND(D4*E4,2)</f>
        <v>556.48</v>
      </c>
      <c r="G4" s="6">
        <f>D4+F4</f>
        <v>3206.4</v>
      </c>
      <c r="H4" t="b">
        <v>1</v>
      </c>
      <c r="I4">
        <f>IF(H4,0,MAX(0,$K$1-B4-30))</f>
        <v>0</v>
      </c>
    </row>
    <row r="5" spans="1:11">
      <c r="A5" t="s">
        <v>45</v>
      </c>
      <c r="B5" s="3">
        <v>45718</v>
      </c>
      <c r="C5" t="s">
        <v>44</v>
      </c>
      <c r="D5" s="6">
        <v>4750.92</v>
      </c>
      <c r="E5" s="7">
        <v>0.1</v>
      </c>
      <c r="F5" s="6">
        <f>ROUND(D5*E5,2)</f>
        <v>475.09</v>
      </c>
      <c r="G5" s="6">
        <f>D5+F5</f>
        <v>5226.01</v>
      </c>
      <c r="H5" t="b">
        <v>0</v>
      </c>
      <c r="I5">
        <f>IF(H5,0,MAX(0,$K$1-B5-30))</f>
        <v>90</v>
      </c>
    </row>
    <row r="6" spans="1:11">
      <c r="A6" t="s">
        <v>46</v>
      </c>
      <c r="B6" s="3">
        <v>45735</v>
      </c>
      <c r="C6" t="s">
        <v>7</v>
      </c>
      <c r="D6" s="6">
        <v>4598.43</v>
      </c>
      <c r="E6" s="7">
        <v>0.1</v>
      </c>
      <c r="F6" s="6">
        <f>ROUND(D6*E6,2)</f>
        <v>459.84</v>
      </c>
      <c r="G6" s="6">
        <f>D6+F6</f>
        <v>5058.27</v>
      </c>
      <c r="H6" t="b">
        <v>1</v>
      </c>
      <c r="I6">
        <f>IF(H6,0,MAX(0,$K$1-B6-30))</f>
        <v>0</v>
      </c>
    </row>
    <row r="7" spans="1:11">
      <c r="A7" t="s">
        <v>47</v>
      </c>
      <c r="B7" s="3">
        <v>45754</v>
      </c>
      <c r="C7" t="s">
        <v>44</v>
      </c>
      <c r="D7" s="6">
        <v>4041.4</v>
      </c>
      <c r="E7" s="7">
        <v>0.21</v>
      </c>
      <c r="F7" s="6">
        <f>ROUND(D7*E7,2)</f>
        <v>848.69</v>
      </c>
      <c r="G7" s="6">
        <f>D7+F7</f>
        <v>4890.09</v>
      </c>
      <c r="H7" t="b">
        <v>1</v>
      </c>
      <c r="I7">
        <f>IF(H7,0,MAX(0,$K$1-B7-30))</f>
        <v>0</v>
      </c>
    </row>
    <row r="8" spans="1:11">
      <c r="A8" t="s">
        <v>3</v>
      </c>
      <c r="B8" s="3">
        <f>Factura!G3</f>
        <v>45702.0</v>
      </c>
      <c r="C8" t="s">
        <v>7</v>
      </c>
      <c r="D8" s="6">
        <f>Factura!F24</f>
        <v>521.1</v>
      </c>
      <c r="E8" s="7">
        <v>0.21</v>
      </c>
      <c r="F8" s="6">
        <f>ROUND(D8*E8,2)</f>
        <v>109.43</v>
      </c>
      <c r="G8" s="6">
        <f>D8+F8</f>
        <v>630.53</v>
      </c>
      <c r="H8" t="b">
        <v>0</v>
      </c>
      <c r="I8">
        <f>IF(H8,0,MAX(0,$K$1-B8-30))</f>
        <v>106</v>
      </c>
    </row>
    <row r="9" spans="1:11">
      <c r="A9" t="s">
        <v>48</v>
      </c>
      <c r="B9" s="3">
        <v>45789</v>
      </c>
      <c r="C9" t="s">
        <v>44</v>
      </c>
      <c r="D9" s="6">
        <v>1033.02</v>
      </c>
      <c r="E9" s="7">
        <v>0.21</v>
      </c>
      <c r="F9" s="6">
        <f>ROUND(D9*E9,2)</f>
        <v>216.93</v>
      </c>
      <c r="G9" s="6">
        <f>D9+F9</f>
        <v>1249.95</v>
      </c>
      <c r="H9" t="b">
        <v>0</v>
      </c>
      <c r="I9">
        <f>IF(H9,0,MAX(0,$K$1-B9-30))</f>
        <v>19</v>
      </c>
    </row>
    <row r="10" spans="1:11">
      <c r="A10" t="s">
        <v>49</v>
      </c>
      <c r="B10" s="3">
        <v>45804</v>
      </c>
      <c r="C10" t="s">
        <v>41</v>
      </c>
      <c r="D10" s="6">
        <v>1550.51</v>
      </c>
      <c r="E10" s="7">
        <v>0.21</v>
      </c>
      <c r="F10" s="6">
        <f>ROUND(D10*E10,2)</f>
        <v>325.61</v>
      </c>
      <c r="G10" s="6">
        <f>D10+F10</f>
        <v>1876.12</v>
      </c>
      <c r="H10" t="b">
        <v>0</v>
      </c>
      <c r="I10">
        <f>IF(H10,0,MAX(0,$K$1-B10-30))</f>
        <v>4</v>
      </c>
    </row>
    <row r="11" spans="1:11">
      <c r="A11" t="s">
        <v>50</v>
      </c>
      <c r="B11" s="3">
        <v>45818</v>
      </c>
      <c r="C11" t="s">
        <v>44</v>
      </c>
      <c r="D11" s="6">
        <v>1573.25</v>
      </c>
      <c r="E11" s="7">
        <v>0.21</v>
      </c>
      <c r="F11" s="6">
        <f>ROUND(D11*E11,2)</f>
        <v>330.38</v>
      </c>
      <c r="G11" s="6">
        <f>D11+F11</f>
        <v>1903.63</v>
      </c>
      <c r="H11" t="b">
        <v>0</v>
      </c>
      <c r="I11">
        <f>IF(H11,0,MAX(0,$K$1-B11-30))</f>
        <v>0</v>
      </c>
    </row>
    <row r="12" spans="1:11">
      <c r="A12" t="s">
        <v>51</v>
      </c>
      <c r="B12" s="3">
        <v>45839</v>
      </c>
      <c r="C12" t="s">
        <v>41</v>
      </c>
      <c r="D12" s="6">
        <v>1245.42</v>
      </c>
      <c r="E12" s="7">
        <v>0.21</v>
      </c>
      <c r="F12" s="6">
        <f>ROUND(D12*E12,2)</f>
        <v>261.54</v>
      </c>
      <c r="G12" s="6">
        <f>D12+F12</f>
        <v>1506.96</v>
      </c>
      <c r="H12" t="b">
        <v>0</v>
      </c>
      <c r="I12">
        <f>IF(H12,0,MAX(0,$K$1-B12-30))</f>
        <v>0</v>
      </c>
    </row>
    <row r="13" spans="1:11">
      <c r="A13" t="s">
        <v>52</v>
      </c>
      <c r="B13" s="3">
        <v>45853</v>
      </c>
      <c r="C13" t="s">
        <v>41</v>
      </c>
      <c r="D13" s="6">
        <v>1566.46</v>
      </c>
      <c r="E13" s="7">
        <v>0.21</v>
      </c>
      <c r="F13" s="6">
        <f>ROUND(D13*E13,2)</f>
        <v>328.96</v>
      </c>
      <c r="G13" s="6">
        <f>D13+F13</f>
        <v>1895.42</v>
      </c>
      <c r="H13" t="b">
        <v>0</v>
      </c>
      <c r="I13">
        <f>IF(H13,0,MAX(0,$K$1-B13-30))</f>
        <v>0</v>
      </c>
    </row>
    <row r="14" spans="1:11">
      <c r="A14" t="s">
        <v>53</v>
      </c>
      <c r="B14" s="3">
        <v>45872</v>
      </c>
      <c r="C14" t="s">
        <v>41</v>
      </c>
      <c r="D14" s="6">
        <v>1532.14</v>
      </c>
      <c r="E14" s="7">
        <v>0.21</v>
      </c>
      <c r="F14" s="6">
        <f>ROUND(D14*E14,2)</f>
        <v>321.75</v>
      </c>
      <c r="G14" s="6">
        <f>D14+F14</f>
        <v>1853.89</v>
      </c>
      <c r="H14" t="b">
        <v>0</v>
      </c>
      <c r="I14">
        <f>IF(H14,0,MAX(0,$K$1-B14-30))</f>
        <v>0</v>
      </c>
    </row>
    <row r="15" spans="1:11">
      <c r="A15" t="s">
        <v>54</v>
      </c>
      <c r="B15" s="3">
        <v>45891</v>
      </c>
      <c r="C15" t="s">
        <v>44</v>
      </c>
      <c r="D15" s="6">
        <v>3984.26</v>
      </c>
      <c r="E15" s="7">
        <v>0.1</v>
      </c>
      <c r="F15" s="6">
        <f>ROUND(D15*E15,2)</f>
        <v>398.43</v>
      </c>
      <c r="G15" s="6">
        <f>D15+F15</f>
        <v>4382.69</v>
      </c>
      <c r="H15" t="b">
        <v>0</v>
      </c>
      <c r="I15">
        <f>IF(H15,0,MAX(0,$K$1-B15-30))</f>
        <v>0</v>
      </c>
    </row>
    <row r="16" spans="1:11">
      <c r="A16" t="s">
        <v>55</v>
      </c>
      <c r="B16" s="3">
        <v>45907</v>
      </c>
      <c r="C16" t="s">
        <v>7</v>
      </c>
      <c r="D16" s="6">
        <v>1989.17</v>
      </c>
      <c r="E16" s="7">
        <v>0.1</v>
      </c>
      <c r="F16" s="6">
        <f>ROUND(D16*E16,2)</f>
        <v>198.92</v>
      </c>
      <c r="G16" s="6">
        <f>D16+F16</f>
        <v>2188.09</v>
      </c>
      <c r="H16" t="b">
        <v>0</v>
      </c>
      <c r="I16">
        <f>IF(H16,0,MAX(0,$K$1-B16-30))</f>
        <v>0</v>
      </c>
    </row>
    <row r="17" spans="1:9">
      <c r="A17" t="s">
        <v>56</v>
      </c>
      <c r="B17" s="3">
        <v>45920</v>
      </c>
      <c r="C17" t="s">
        <v>57</v>
      </c>
      <c r="D17" s="6">
        <v>382.38</v>
      </c>
      <c r="E17" s="7">
        <v>0.1</v>
      </c>
      <c r="F17" s="6">
        <f>ROUND(D17*E17,2)</f>
        <v>38.24</v>
      </c>
      <c r="G17" s="6">
        <f>D17+F17</f>
        <v>420.62</v>
      </c>
      <c r="H17" t="b">
        <v>0</v>
      </c>
      <c r="I17">
        <f>IF(H17,0,MAX(0,$K$1-B17-30))</f>
        <v>0</v>
      </c>
    </row>
    <row r="18" spans="1:9">
      <c r="A18" t="s">
        <v>58</v>
      </c>
      <c r="B18" s="3">
        <v>45942</v>
      </c>
      <c r="C18" t="s">
        <v>57</v>
      </c>
      <c r="D18" s="6">
        <v>1515.81</v>
      </c>
      <c r="E18" s="7">
        <v>0.21</v>
      </c>
      <c r="F18" s="6">
        <f>ROUND(D18*E18,2)</f>
        <v>318.32</v>
      </c>
      <c r="G18" s="6">
        <f>D18+F18</f>
        <v>1834.13</v>
      </c>
      <c r="H18" t="b">
        <v>0</v>
      </c>
      <c r="I18">
        <f>IF(H18,0,MAX(0,$K$1-B18-30))</f>
        <v>0</v>
      </c>
    </row>
    <row r="19" spans="1:9">
      <c r="A19" t="s">
        <v>59</v>
      </c>
      <c r="B19" s="3">
        <v>45955</v>
      </c>
      <c r="C19" t="s">
        <v>7</v>
      </c>
      <c r="D19" s="6">
        <v>2926.81</v>
      </c>
      <c r="E19" s="7">
        <v>0.21</v>
      </c>
      <c r="F19" s="6">
        <f>ROUND(D19*E19,2)</f>
        <v>614.63</v>
      </c>
      <c r="G19" s="6">
        <f>D19+F19</f>
        <v>3541.44</v>
      </c>
      <c r="H19" t="b">
        <v>0</v>
      </c>
      <c r="I19">
        <f>IF(H19,0,MAX(0,$K$1-B19-30))</f>
        <v>0</v>
      </c>
    </row>
    <row r="20" spans="1:9">
      <c r="A20" t="s">
        <v>60</v>
      </c>
      <c r="B20" s="3">
        <v>45974</v>
      </c>
      <c r="C20" t="s">
        <v>44</v>
      </c>
      <c r="D20" s="6">
        <v>440.92</v>
      </c>
      <c r="E20" s="7">
        <v>0.21</v>
      </c>
      <c r="F20" s="6">
        <f>ROUND(D20*E20,2)</f>
        <v>92.59</v>
      </c>
      <c r="G20" s="6">
        <f>D20+F20</f>
        <v>533.51</v>
      </c>
      <c r="H20" t="b">
        <v>0</v>
      </c>
      <c r="I20">
        <f>IF(H20,0,MAX(0,$K$1-B20-30))</f>
        <v>0</v>
      </c>
    </row>
    <row r="21" spans="1:9">
      <c r="A21" t="s">
        <v>61</v>
      </c>
      <c r="B21" s="3">
        <v>45992</v>
      </c>
      <c r="C21" t="s">
        <v>57</v>
      </c>
      <c r="D21" s="6">
        <v>704.03</v>
      </c>
      <c r="E21" s="7">
        <v>0.21</v>
      </c>
      <c r="F21" s="6">
        <f>ROUND(D21*E21,2)</f>
        <v>147.85</v>
      </c>
      <c r="G21" s="6">
        <f>D21+F21</f>
        <v>851.88</v>
      </c>
      <c r="H21" t="b">
        <v>0</v>
      </c>
      <c r="I21">
        <f>IF(H21,0,MAX(0,$K$1-B21-30))</f>
        <v>0</v>
      </c>
    </row>
    <row r="24" spans="1:9">
      <c r="A24" s="5" t="s">
        <v>62</v>
      </c>
      <c r="B24" s="5" t="s">
        <v>63</v>
      </c>
    </row>
    <row r="25" spans="1:9">
      <c r="A25" t="s">
        <v>64</v>
      </c>
      <c r="B25" s="6">
        <f>SUMIFS($G$2:$G$21,$B$2:$B$21,"&gt;="&amp;DATE(2025,1,1),$B$2:$B$21,"&lt;"&amp;DATE(2025,4,1))</f>
        <v>16880.27</v>
      </c>
    </row>
    <row r="26" spans="1:9">
      <c r="A26" t="s">
        <v>65</v>
      </c>
      <c r="B26" s="6">
        <f>SUMIFS($G$2:$G$21,$B$2:$B$21,"&gt;="&amp;DATE(2025,4,1),$B$2:$B$21,"&lt;"&amp;DATE(2025,7,1))</f>
        <v>9919.79</v>
      </c>
    </row>
    <row r="27" spans="1:9">
      <c r="A27" t="s">
        <v>66</v>
      </c>
      <c r="B27" s="6">
        <f>SUMIFS($G$2:$G$21,$B$2:$B$21,"&gt;="&amp;DATE(2025,7,1),$B$2:$B$21,"&lt;"&amp;DATE(2025,10,1))</f>
        <v>12247.67</v>
      </c>
    </row>
    <row r="28" spans="1:9">
      <c r="A28" t="s">
        <v>67</v>
      </c>
      <c r="B28" s="6">
        <f>SUMIFS($G$2:$G$21,$B$2:$B$21,"&gt;="&amp;DATE(2025,10,1),$B$2:$B$21,"&lt;"&amp;DATE(2026,1,1))</f>
        <v>6760.96</v>
      </c>
    </row>
    <row r="30" spans="1:9">
      <c r="A30" s="4" t="s">
        <v>68</v>
      </c>
      <c r="B30" s="6">
        <f>SUMIF(H2:H21,FALSE,G2:G21)</f>
        <v>29894.87</v>
      </c>
    </row>
    <row r="31" spans="1:9">
      <c r="A31" s="4" t="s">
        <v>69</v>
      </c>
      <c r="B31">
        <f>COUNTIF(H2:H21,TRUE)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</vt:lpstr>
      <vt:lpstr>Registro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facturas.xlsx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
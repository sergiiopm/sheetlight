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ario" sheetId="1" r:id="rId1"/>
    <sheet name="Turnos" sheetId="2" r:id="rId2"/>
    <sheet name="Calendario 2026" sheetId="3" r:id="rId3"/>
  </sheets>
  <calcPr calcId="124519" fullCalcOnLoad="1"/>
</workbook>
</file>

<file path=xl/sharedStrings.xml><?xml version="1.0" encoding="utf-8"?>
<sst xmlns="http://schemas.openxmlformats.org/spreadsheetml/2006/main" count="86" uniqueCount="52">
  <si>
    <t>Horario semanal · 2º ESO B</t>
  </si>
  <si>
    <t>Hora</t>
  </si>
  <si>
    <t>Lunes</t>
  </si>
  <si>
    <t>Martes</t>
  </si>
  <si>
    <t>Miércoles</t>
  </si>
  <si>
    <t>Jueves</t>
  </si>
  <si>
    <t>Viernes</t>
  </si>
  <si>
    <t>Matemáticas</t>
  </si>
  <si>
    <t>Lengua</t>
  </si>
  <si>
    <t>Inglés</t>
  </si>
  <si>
    <t>Historia</t>
  </si>
  <si>
    <t>Ed. Física</t>
  </si>
  <si>
    <t>Tecnología</t>
  </si>
  <si>
    <t>Música</t>
  </si>
  <si>
    <t>Tutoría</t>
  </si>
  <si>
    <t>Recreo</t>
  </si>
  <si>
    <t>Turno de mañana</t>
  </si>
  <si>
    <t>Empleado</t>
  </si>
  <si>
    <t>Fecha</t>
  </si>
  <si>
    <t>Entrada</t>
  </si>
  <si>
    <t>Salida</t>
  </si>
  <si>
    <t>Pausa (min)</t>
  </si>
  <si>
    <t>Horas</t>
  </si>
  <si>
    <t>Horas decimales</t>
  </si>
  <si>
    <t>Ana Ruiz</t>
  </si>
  <si>
    <t>Jorge Peña</t>
  </si>
  <si>
    <t>Total semana</t>
  </si>
  <si>
    <t>Calendario 2026</t>
  </si>
  <si>
    <t>L</t>
  </si>
  <si>
    <t>M</t>
  </si>
  <si>
    <t>X</t>
  </si>
  <si>
    <t>J</t>
  </si>
  <si>
    <t>V</t>
  </si>
  <si>
    <t>S</t>
  </si>
  <si>
    <t>D</t>
  </si>
  <si>
    <t>Festivo</t>
  </si>
  <si>
    <t>Descripción</t>
  </si>
  <si>
    <t>Año Nuevo</t>
  </si>
  <si>
    <t>Epifanía del Señor</t>
  </si>
  <si>
    <t>Jueves Santo</t>
  </si>
  <si>
    <t>Viernes Santo</t>
  </si>
  <si>
    <t>Fiesta del Trabajo</t>
  </si>
  <si>
    <t>Asunción de la Virgen</t>
  </si>
  <si>
    <t>Fiesta Nacional de España</t>
  </si>
  <si>
    <t>Inmaculada Concepción</t>
  </si>
  <si>
    <t>Natividad del Señor</t>
  </si>
  <si>
    <t>Laborables enero</t>
  </si>
  <si>
    <t>Laborables 1er trimestre</t>
  </si>
  <si>
    <t>Entrega (+20 laborables desde 15/01)</t>
  </si>
  <si>
    <t>Día de la semana del 12/10</t>
  </si>
  <si>
    <t>Festivos en día laborable</t>
  </si>
  <si>
    <t>Fecha larga</t>
  </si>
</sst>
</file>

<file path=xl/styles.xml><?xml version="1.0" encoding="utf-8"?>
<styleSheet xmlns="http://schemas.openxmlformats.org/spreadsheetml/2006/main">
  <numFmts count="8">
    <numFmt numFmtId="164" formatCode="hh:mm"/>
    <numFmt numFmtId="165" formatCode="dd/mm/yyyy"/>
    <numFmt numFmtId="166" formatCode="[h]:mm"/>
    <numFmt numFmtId="167" formatCode="0.00"/>
    <numFmt numFmtId="168" formatCode="mmmm yyyy"/>
    <numFmt numFmtId="169" formatCode="d"/>
    <numFmt numFmtId="170" formatCode="dddd"/>
    <numFmt numFmtId="171" formatCode="d &quot;de&quot; mmmm &quot;de&quot; yyyy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textRotation="90"/>
    </xf>
    <xf numFmtId="0" fontId="0" fillId="9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166" fontId="3" fillId="0" borderId="2" xfId="0" applyNumberFormat="1" applyFont="1" applyBorder="1"/>
    <xf numFmtId="168" fontId="3" fillId="13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2">
    <dxf>
      <font>
        <color rgb="FFBFBFBF"/>
      </font>
    </dxf>
    <dxf>
      <font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8.7109375" customWidth="1"/>
    <col min="2" max="6" width="15.7109375" customWidth="1"/>
    <col min="7" max="7" width="5.7109375" customWidth="1"/>
  </cols>
  <sheetData>
    <row r="1" spans="1:7" ht="26" customHeight="1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 ht="22" customHeight="1">
      <c r="A3" s="3">
        <f>TIME(8,0,0)</f>
        <v>0.3333333333333333</v>
      </c>
      <c r="B3" s="4" t="s">
        <v>7</v>
      </c>
      <c r="C3" s="5" t="s">
        <v>8</v>
      </c>
      <c r="D3" s="6" t="s">
        <v>9</v>
      </c>
      <c r="E3" s="7" t="s">
        <v>10</v>
      </c>
      <c r="F3" s="8" t="s">
        <v>13</v>
      </c>
      <c r="G3" s="9" t="s">
        <v>16</v>
      </c>
    </row>
    <row r="4" spans="1:7" ht="22" customHeight="1">
      <c r="A4" s="3">
        <f>A3+TIME(0,30,0)</f>
        <v>0.3541666666666667</v>
      </c>
      <c r="B4" s="4"/>
      <c r="C4" s="5"/>
      <c r="D4" s="6"/>
      <c r="E4" s="7"/>
      <c r="F4" s="8"/>
      <c r="G4" s="9"/>
    </row>
    <row r="5" spans="1:7" ht="22" customHeight="1">
      <c r="A5" s="3">
        <f>A4+TIME(0,30,0)</f>
        <v>0.375</v>
      </c>
      <c r="B5" s="5" t="s">
        <v>8</v>
      </c>
      <c r="C5" s="10" t="s">
        <v>12</v>
      </c>
      <c r="D5" s="4" t="s">
        <v>7</v>
      </c>
      <c r="E5" s="6" t="s">
        <v>9</v>
      </c>
      <c r="F5" s="7" t="s">
        <v>10</v>
      </c>
      <c r="G5" s="9"/>
    </row>
    <row r="6" spans="1:7" ht="22" customHeight="1">
      <c r="A6" s="3">
        <f>A5+TIME(0,30,0)</f>
        <v>0.3958333333333333</v>
      </c>
      <c r="B6" s="5"/>
      <c r="C6" s="10"/>
      <c r="D6" s="4"/>
      <c r="E6" s="6"/>
      <c r="F6" s="7"/>
      <c r="G6" s="9"/>
    </row>
    <row r="7" spans="1:7" ht="22" customHeight="1">
      <c r="A7" s="3">
        <f>A6+TIME(0,30,0)</f>
        <v>0.4166666666666667</v>
      </c>
      <c r="B7" s="11" t="s">
        <v>15</v>
      </c>
      <c r="C7" s="11"/>
      <c r="D7" s="11"/>
      <c r="E7" s="11"/>
      <c r="F7" s="11"/>
      <c r="G7" s="9"/>
    </row>
    <row r="8" spans="1:7" ht="22" customHeight="1">
      <c r="A8" s="3">
        <f>A7+TIME(0,30,0)</f>
        <v>0.4375</v>
      </c>
      <c r="B8" s="6" t="s">
        <v>9</v>
      </c>
      <c r="C8" s="4" t="s">
        <v>7</v>
      </c>
      <c r="D8" s="5" t="s">
        <v>8</v>
      </c>
      <c r="E8" s="12" t="s">
        <v>11</v>
      </c>
      <c r="F8" s="4" t="s">
        <v>7</v>
      </c>
      <c r="G8" s="9"/>
    </row>
    <row r="9" spans="1:7" ht="22" customHeight="1">
      <c r="A9" s="3">
        <f>A8+TIME(0,30,0)</f>
        <v>0.4583333333333333</v>
      </c>
      <c r="B9" s="6"/>
      <c r="C9" s="4"/>
      <c r="D9" s="5"/>
      <c r="E9" s="12"/>
      <c r="F9" s="4"/>
      <c r="G9" s="9"/>
    </row>
    <row r="10" spans="1:7" ht="22" customHeight="1">
      <c r="A10" s="3">
        <f>A9+TIME(0,30,0)</f>
        <v>0.4791666666666667</v>
      </c>
      <c r="B10" s="7" t="s">
        <v>10</v>
      </c>
      <c r="C10" s="8" t="s">
        <v>13</v>
      </c>
      <c r="D10" s="10" t="s">
        <v>12</v>
      </c>
      <c r="E10" s="5" t="s">
        <v>8</v>
      </c>
      <c r="F10" s="6" t="s">
        <v>9</v>
      </c>
      <c r="G10" s="9"/>
    </row>
    <row r="11" spans="1:7" ht="22" customHeight="1">
      <c r="A11" s="3">
        <f>A10+TIME(0,30,0)</f>
        <v>0.5</v>
      </c>
      <c r="B11" s="7"/>
      <c r="C11" s="8"/>
      <c r="D11" s="10"/>
      <c r="E11" s="5"/>
      <c r="F11" s="6"/>
      <c r="G11" s="9"/>
    </row>
    <row r="12" spans="1:7" ht="22" customHeight="1">
      <c r="A12" s="3">
        <f>A11+TIME(0,30,0)</f>
        <v>0.5208333333333334</v>
      </c>
      <c r="B12" s="12" t="s">
        <v>11</v>
      </c>
      <c r="C12" s="6" t="s">
        <v>9</v>
      </c>
      <c r="D12" s="13" t="s">
        <v>14</v>
      </c>
      <c r="E12" s="4" t="s">
        <v>7</v>
      </c>
      <c r="F12" s="5" t="s">
        <v>8</v>
      </c>
      <c r="G12" s="9"/>
    </row>
    <row r="13" spans="1:7" ht="22" customHeight="1">
      <c r="A13" s="3">
        <f>A12+TIME(0,30,0)</f>
        <v>0.5416666666666666</v>
      </c>
      <c r="B13" s="12"/>
      <c r="C13" s="6"/>
      <c r="D13" s="13"/>
      <c r="E13" s="4"/>
      <c r="F13" s="5"/>
      <c r="G13" s="9"/>
    </row>
    <row r="14" spans="1:7" ht="22" customHeight="1">
      <c r="A14" s="3">
        <f>A13+TIME(0,30,0)</f>
        <v>0.5625</v>
      </c>
      <c r="B14" s="12"/>
      <c r="C14" s="6"/>
      <c r="D14" s="13"/>
      <c r="E14" s="4"/>
      <c r="F14" s="5"/>
      <c r="G14" s="9"/>
    </row>
  </sheetData>
  <mergeCells count="28">
    <mergeCell ref="A1:G1"/>
    <mergeCell ref="B3:B4"/>
    <mergeCell ref="B5:B6"/>
    <mergeCell ref="B8:B9"/>
    <mergeCell ref="B10:B11"/>
    <mergeCell ref="B12:B14"/>
    <mergeCell ref="C3:C4"/>
    <mergeCell ref="C5:C6"/>
    <mergeCell ref="C8:C9"/>
    <mergeCell ref="C10:C11"/>
    <mergeCell ref="C12:C14"/>
    <mergeCell ref="D3:D4"/>
    <mergeCell ref="D5:D6"/>
    <mergeCell ref="D8:D9"/>
    <mergeCell ref="D10:D11"/>
    <mergeCell ref="D12:D14"/>
    <mergeCell ref="E3:E4"/>
    <mergeCell ref="E5:E6"/>
    <mergeCell ref="E8:E9"/>
    <mergeCell ref="E10:E11"/>
    <mergeCell ref="E12:E14"/>
    <mergeCell ref="F3:F4"/>
    <mergeCell ref="F5:F6"/>
    <mergeCell ref="F8:F9"/>
    <mergeCell ref="F10:F11"/>
    <mergeCell ref="F12:F14"/>
    <mergeCell ref="B7:F7"/>
    <mergeCell ref="G3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4.7109375" customWidth="1"/>
    <col min="2" max="2" width="11.7109375" customWidth="1"/>
    <col min="3" max="4" width="8.7109375" customWidth="1"/>
    <col min="5" max="5" width="11.7109375" customWidth="1"/>
    <col min="6" max="6" width="8.7109375" customWidth="1"/>
    <col min="7" max="7" width="15.7109375" customWidth="1"/>
  </cols>
  <sheetData>
    <row r="1" spans="1:7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>
      <c r="A2" t="s">
        <v>24</v>
      </c>
      <c r="B2" s="14">
        <v>46090</v>
      </c>
      <c r="C2" s="3">
        <v>0.3333333333333333</v>
      </c>
      <c r="D2" s="3">
        <v>0.6875</v>
      </c>
      <c r="E2">
        <v>30</v>
      </c>
      <c r="F2" s="15">
        <f>MOD(D2-C2,1)-E2/1440</f>
        <v>0.3333333333333333</v>
      </c>
      <c r="G2" s="16">
        <f>ROUND(F2*24,2)</f>
        <v>8.0</v>
      </c>
    </row>
    <row r="3" spans="1:7">
      <c r="A3" t="s">
        <v>24</v>
      </c>
      <c r="B3" s="14">
        <v>46091</v>
      </c>
      <c r="C3" s="3">
        <v>0.3333333333333333</v>
      </c>
      <c r="D3" s="3">
        <v>0.71875</v>
      </c>
      <c r="E3">
        <v>45</v>
      </c>
      <c r="F3" s="15">
        <f>MOD(D3-C3,1)-E3/1440</f>
        <v>0.3541666666666667</v>
      </c>
      <c r="G3" s="16">
        <f>ROUND(F3*24,2)</f>
        <v>8.5</v>
      </c>
    </row>
    <row r="4" spans="1:7">
      <c r="A4" t="s">
        <v>24</v>
      </c>
      <c r="B4" s="14">
        <v>46092</v>
      </c>
      <c r="C4" s="3">
        <v>0.3958333333333333</v>
      </c>
      <c r="D4" s="3">
        <v>0.75</v>
      </c>
      <c r="E4">
        <v>30</v>
      </c>
      <c r="F4" s="15">
        <f>MOD(D4-C4,1)-E4/1440</f>
        <v>0.3333333333333333</v>
      </c>
      <c r="G4" s="16">
        <f>ROUND(F4*24,2)</f>
        <v>8.0</v>
      </c>
    </row>
    <row r="5" spans="1:7">
      <c r="A5" t="s">
        <v>24</v>
      </c>
      <c r="B5" s="14">
        <v>46093</v>
      </c>
      <c r="C5" s="3">
        <v>0.3333333333333333</v>
      </c>
      <c r="D5" s="3">
        <v>0.625</v>
      </c>
      <c r="E5">
        <v>0</v>
      </c>
      <c r="F5" s="15">
        <f>MOD(D5-C5,1)-E5/1440</f>
        <v>0.2916666666666667</v>
      </c>
      <c r="G5" s="16">
        <f>ROUND(F5*24,2)</f>
        <v>7.0</v>
      </c>
    </row>
    <row r="6" spans="1:7">
      <c r="A6" t="s">
        <v>24</v>
      </c>
      <c r="B6" s="14">
        <v>46094</v>
      </c>
      <c r="C6" s="3">
        <v>0.3333333333333333</v>
      </c>
      <c r="D6" s="3">
        <v>0.5833333333333334</v>
      </c>
      <c r="E6">
        <v>0</v>
      </c>
      <c r="F6" s="15">
        <f>MOD(D6-C6,1)-E6/1440</f>
        <v>0.25</v>
      </c>
      <c r="G6" s="16">
        <f>ROUND(F6*24,2)</f>
        <v>6.0</v>
      </c>
    </row>
    <row r="7" spans="1:7">
      <c r="A7" t="s">
        <v>25</v>
      </c>
      <c r="B7" s="14">
        <v>46090</v>
      </c>
      <c r="C7" s="3">
        <v>0.9166666666666666</v>
      </c>
      <c r="D7" s="3">
        <v>0.25</v>
      </c>
      <c r="E7">
        <v>30</v>
      </c>
      <c r="F7" s="15">
        <f>MOD(D7-C7,1)-E7/1440</f>
        <v>0.3125</v>
      </c>
      <c r="G7" s="16">
        <f>ROUND(F7*24,2)</f>
        <v>7.5</v>
      </c>
    </row>
    <row r="8" spans="1:7">
      <c r="A8" t="s">
        <v>25</v>
      </c>
      <c r="B8" s="14">
        <v>46091</v>
      </c>
      <c r="C8" s="3">
        <v>0.9166666666666666</v>
      </c>
      <c r="D8" s="3">
        <v>0.25</v>
      </c>
      <c r="E8">
        <v>30</v>
      </c>
      <c r="F8" s="15">
        <f>MOD(D8-C8,1)-E8/1440</f>
        <v>0.3125</v>
      </c>
      <c r="G8" s="16">
        <f>ROUND(F8*24,2)</f>
        <v>7.5</v>
      </c>
    </row>
    <row r="9" spans="1:7">
      <c r="A9" t="s">
        <v>25</v>
      </c>
      <c r="B9" s="14">
        <v>46092</v>
      </c>
      <c r="C9" s="3">
        <v>0.8958333333333334</v>
      </c>
      <c r="D9" s="3">
        <v>0.2604166666666667</v>
      </c>
      <c r="E9">
        <v>45</v>
      </c>
      <c r="F9" s="15">
        <f>MOD(D9-C9,1)-E9/1440</f>
        <v>0.3333333333333333</v>
      </c>
      <c r="G9" s="16">
        <f>ROUND(F9*24,2)</f>
        <v>8.0</v>
      </c>
    </row>
    <row r="10" spans="1:7">
      <c r="A10" t="s">
        <v>25</v>
      </c>
      <c r="B10" s="14">
        <v>46093</v>
      </c>
      <c r="C10" s="3">
        <v>0.9166666666666666</v>
      </c>
      <c r="D10" s="3">
        <v>0.2291666666666667</v>
      </c>
      <c r="E10">
        <v>15</v>
      </c>
      <c r="F10" s="15">
        <f>MOD(D10-C10,1)-E10/1440</f>
        <v>0.3020833333333333</v>
      </c>
      <c r="G10" s="16">
        <f>ROUND(F10*24,2)</f>
        <v>7.25</v>
      </c>
    </row>
    <row r="11" spans="1:7">
      <c r="A11" t="s">
        <v>25</v>
      </c>
      <c r="B11" s="14">
        <v>46095</v>
      </c>
      <c r="C11" s="3">
        <v>0.5833333333333334</v>
      </c>
      <c r="D11" s="3">
        <v>0.9166666666666666</v>
      </c>
      <c r="E11">
        <v>30</v>
      </c>
      <c r="F11" s="15">
        <f>MOD(D11-C11,1)-E11/1440</f>
        <v>0.3125</v>
      </c>
      <c r="G11" s="16">
        <f>ROUND(F11*24,2)</f>
        <v>7.5</v>
      </c>
    </row>
    <row r="13" spans="1:7">
      <c r="A13" s="17" t="s">
        <v>26</v>
      </c>
      <c r="F13" s="18">
        <f>SUM(F2:F11)</f>
        <v>3.1354166666666665</v>
      </c>
      <c r="G13" s="16">
        <f>ROUND(F13*24,2)</f>
        <v>75.25</v>
      </c>
    </row>
    <row r="14" spans="1:7">
      <c r="A14" t="s">
        <v>24</v>
      </c>
      <c r="F14" s="15">
        <f>SUMIF($A$2:$A$11,A14,$F$2:$F$11)</f>
        <v>1.5625</v>
      </c>
    </row>
    <row r="15" spans="1:7">
      <c r="A15" t="s">
        <v>25</v>
      </c>
      <c r="F15" s="15">
        <f>SUMIF($A$2:$A$11,A15,$F$2:$F$11)</f>
        <v>1.5729166666666665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7" width="5.7109375" customWidth="1"/>
    <col min="8" max="8" width="3.7109375" customWidth="1"/>
    <col min="10" max="10" width="34.7109375" customWidth="1"/>
    <col min="11" max="11" width="26.7109375" customWidth="1"/>
  </cols>
  <sheetData>
    <row r="1" spans="1:11">
      <c r="A1" s="1" t="s">
        <v>27</v>
      </c>
      <c r="B1" s="1"/>
      <c r="C1" s="1"/>
      <c r="D1" s="1"/>
      <c r="E1" s="1"/>
      <c r="F1" s="1"/>
      <c r="G1" s="1"/>
      <c r="H1" s="1"/>
    </row>
    <row r="2" spans="1:11">
      <c r="J2" s="2" t="s">
        <v>35</v>
      </c>
      <c r="K2" s="2" t="s">
        <v>36</v>
      </c>
    </row>
    <row r="3" spans="1:11">
      <c r="A3" s="19">
        <f>DATE(2026,1,1)</f>
        <v>46023.0</v>
      </c>
      <c r="B3" s="19"/>
      <c r="C3" s="19"/>
      <c r="D3" s="19"/>
      <c r="E3" s="19"/>
      <c r="F3" s="19"/>
      <c r="G3" s="19"/>
      <c r="J3" s="14">
        <v>46023</v>
      </c>
      <c r="K3" t="s">
        <v>37</v>
      </c>
    </row>
    <row r="4" spans="1:11">
      <c r="A4" s="20" t="s">
        <v>28</v>
      </c>
      <c r="B4" s="20" t="s">
        <v>29</v>
      </c>
      <c r="C4" s="20" t="s">
        <v>30</v>
      </c>
      <c r="D4" s="20" t="s">
        <v>31</v>
      </c>
      <c r="E4" s="20" t="s">
        <v>32</v>
      </c>
      <c r="F4" s="20" t="s">
        <v>33</v>
      </c>
      <c r="G4" s="20" t="s">
        <v>34</v>
      </c>
      <c r="J4" s="14">
        <v>46028</v>
      </c>
      <c r="K4" t="s">
        <v>38</v>
      </c>
    </row>
    <row r="5" spans="1:11">
      <c r="A5" s="21">
        <f>DATE(2026,1,1)-WEEKDAY(DATE(2026,1,1),2)+1</f>
        <v>46020.0</v>
      </c>
      <c r="B5" s="21">
        <f>A5+1</f>
        <v>46021.0</v>
      </c>
      <c r="C5" s="21">
        <f>B5+1</f>
        <v>46022.0</v>
      </c>
      <c r="D5" s="21">
        <f>C5+1</f>
        <v>46023.0</v>
      </c>
      <c r="E5" s="21">
        <f>D5+1</f>
        <v>46024.0</v>
      </c>
      <c r="F5" s="21">
        <f>E5+1</f>
        <v>46025.0</v>
      </c>
      <c r="G5" s="21">
        <f>F5+1</f>
        <v>46026.0</v>
      </c>
      <c r="J5" s="14">
        <v>46114</v>
      </c>
      <c r="K5" t="s">
        <v>39</v>
      </c>
    </row>
    <row r="6" spans="1:11">
      <c r="A6" s="21">
        <f>G5+1</f>
        <v>46027.0</v>
      </c>
      <c r="B6" s="21">
        <f>A6+1</f>
        <v>46028.0</v>
      </c>
      <c r="C6" s="21">
        <f>B6+1</f>
        <v>46029.0</v>
      </c>
      <c r="D6" s="21">
        <f>C6+1</f>
        <v>46030.0</v>
      </c>
      <c r="E6" s="21">
        <f>D6+1</f>
        <v>46031.0</v>
      </c>
      <c r="F6" s="21">
        <f>E6+1</f>
        <v>46032.0</v>
      </c>
      <c r="G6" s="21">
        <f>F6+1</f>
        <v>46033.0</v>
      </c>
      <c r="J6" s="14">
        <v>46115</v>
      </c>
      <c r="K6" t="s">
        <v>40</v>
      </c>
    </row>
    <row r="7" spans="1:11">
      <c r="A7" s="21">
        <f>G6+1</f>
        <v>46034.0</v>
      </c>
      <c r="B7" s="21">
        <f>A7+1</f>
        <v>46035.0</v>
      </c>
      <c r="C7" s="21">
        <f>B7+1</f>
        <v>46036.0</v>
      </c>
      <c r="D7" s="21">
        <f>C7+1</f>
        <v>46037.0</v>
      </c>
      <c r="E7" s="21">
        <f>D7+1</f>
        <v>46038.0</v>
      </c>
      <c r="F7" s="21">
        <f>E7+1</f>
        <v>46039.0</v>
      </c>
      <c r="G7" s="21">
        <f>F7+1</f>
        <v>46040.0</v>
      </c>
      <c r="J7" s="14">
        <v>46143</v>
      </c>
      <c r="K7" t="s">
        <v>41</v>
      </c>
    </row>
    <row r="8" spans="1:11">
      <c r="A8" s="21">
        <f>G7+1</f>
        <v>46041.0</v>
      </c>
      <c r="B8" s="21">
        <f>A8+1</f>
        <v>46042.0</v>
      </c>
      <c r="C8" s="21">
        <f>B8+1</f>
        <v>46043.0</v>
      </c>
      <c r="D8" s="21">
        <f>C8+1</f>
        <v>46044.0</v>
      </c>
      <c r="E8" s="21">
        <f>D8+1</f>
        <v>46045.0</v>
      </c>
      <c r="F8" s="21">
        <f>E8+1</f>
        <v>46046.0</v>
      </c>
      <c r="G8" s="21">
        <f>F8+1</f>
        <v>46047.0</v>
      </c>
      <c r="J8" s="14">
        <v>46249</v>
      </c>
      <c r="K8" t="s">
        <v>42</v>
      </c>
    </row>
    <row r="9" spans="1:11">
      <c r="A9" s="21">
        <f>G8+1</f>
        <v>46048.0</v>
      </c>
      <c r="B9" s="21">
        <f>A9+1</f>
        <v>46049.0</v>
      </c>
      <c r="C9" s="21">
        <f>B9+1</f>
        <v>46050.0</v>
      </c>
      <c r="D9" s="21">
        <f>C9+1</f>
        <v>46051.0</v>
      </c>
      <c r="E9" s="21">
        <f>D9+1</f>
        <v>46052.0</v>
      </c>
      <c r="F9" s="21">
        <f>E9+1</f>
        <v>46053.0</v>
      </c>
      <c r="G9" s="21">
        <f>F9+1</f>
        <v>46054.0</v>
      </c>
      <c r="J9" s="14">
        <v>46307</v>
      </c>
      <c r="K9" t="s">
        <v>43</v>
      </c>
    </row>
    <row r="10" spans="1:11">
      <c r="A10" s="21">
        <f>G9+1</f>
        <v>46055.0</v>
      </c>
      <c r="B10" s="21">
        <f>A10+1</f>
        <v>46056.0</v>
      </c>
      <c r="C10" s="21">
        <f>B10+1</f>
        <v>46057.0</v>
      </c>
      <c r="D10" s="21">
        <f>C10+1</f>
        <v>46058.0</v>
      </c>
      <c r="E10" s="21">
        <f>D10+1</f>
        <v>46059.0</v>
      </c>
      <c r="F10" s="21">
        <f>E10+1</f>
        <v>46060.0</v>
      </c>
      <c r="G10" s="21">
        <f>F10+1</f>
        <v>46061.0</v>
      </c>
      <c r="J10" s="14">
        <v>46364</v>
      </c>
      <c r="K10" t="s">
        <v>44</v>
      </c>
    </row>
    <row r="11" spans="1:11">
      <c r="J11" s="14">
        <v>46381</v>
      </c>
      <c r="K11" t="s">
        <v>45</v>
      </c>
    </row>
    <row r="13" spans="1:11">
      <c r="A13" s="19">
        <f>DATE(2026,2,1)</f>
        <v>46054.0</v>
      </c>
      <c r="B13" s="19"/>
      <c r="C13" s="19"/>
      <c r="D13" s="19"/>
      <c r="E13" s="19"/>
      <c r="F13" s="19"/>
      <c r="G13" s="19"/>
    </row>
    <row r="14" spans="1:11">
      <c r="A14" s="20" t="s">
        <v>28</v>
      </c>
      <c r="B14" s="20" t="s">
        <v>29</v>
      </c>
      <c r="C14" s="20" t="s">
        <v>30</v>
      </c>
      <c r="D14" s="20" t="s">
        <v>31</v>
      </c>
      <c r="E14" s="20" t="s">
        <v>32</v>
      </c>
      <c r="F14" s="20" t="s">
        <v>33</v>
      </c>
      <c r="G14" s="20" t="s">
        <v>34</v>
      </c>
      <c r="J14" s="17" t="s">
        <v>46</v>
      </c>
      <c r="K14">
        <f>NETWORKDAYS(DATE(2026,1,1),DATE(2026,1,31),J3:J11)</f>
        <v>20</v>
      </c>
    </row>
    <row r="15" spans="1:11">
      <c r="A15" s="21">
        <f>DATE(2026,2,1)-WEEKDAY(DATE(2026,2,1),2)+1</f>
        <v>46048.0</v>
      </c>
      <c r="B15" s="21">
        <f>A15+1</f>
        <v>46049.0</v>
      </c>
      <c r="C15" s="21">
        <f>B15+1</f>
        <v>46050.0</v>
      </c>
      <c r="D15" s="21">
        <f>C15+1</f>
        <v>46051.0</v>
      </c>
      <c r="E15" s="21">
        <f>D15+1</f>
        <v>46052.0</v>
      </c>
      <c r="F15" s="21">
        <f>E15+1</f>
        <v>46053.0</v>
      </c>
      <c r="G15" s="21">
        <f>F15+1</f>
        <v>46054.0</v>
      </c>
      <c r="J15" s="17" t="s">
        <v>47</v>
      </c>
      <c r="K15">
        <f>NETWORKDAYS(DATE(2026,1,1),DATE(2026,3,31),J3:J11)</f>
        <v>62</v>
      </c>
    </row>
    <row r="16" spans="1:11">
      <c r="A16" s="21">
        <f>G15+1</f>
        <v>46055.0</v>
      </c>
      <c r="B16" s="21">
        <f>A16+1</f>
        <v>46056.0</v>
      </c>
      <c r="C16" s="21">
        <f>B16+1</f>
        <v>46057.0</v>
      </c>
      <c r="D16" s="21">
        <f>C16+1</f>
        <v>46058.0</v>
      </c>
      <c r="E16" s="21">
        <f>D16+1</f>
        <v>46059.0</v>
      </c>
      <c r="F16" s="21">
        <f>E16+1</f>
        <v>46060.0</v>
      </c>
      <c r="G16" s="21">
        <f>F16+1</f>
        <v>46061.0</v>
      </c>
      <c r="J16" s="17" t="s">
        <v>48</v>
      </c>
      <c r="K16" s="14">
        <f>WORKDAY(DATE(2026,1,15),20,J3:J11)</f>
        <v>46065.0</v>
      </c>
    </row>
    <row r="17" spans="1:11">
      <c r="A17" s="21">
        <f>G16+1</f>
        <v>46062.0</v>
      </c>
      <c r="B17" s="21">
        <f>A17+1</f>
        <v>46063.0</v>
      </c>
      <c r="C17" s="21">
        <f>B17+1</f>
        <v>46064.0</v>
      </c>
      <c r="D17" s="21">
        <f>C17+1</f>
        <v>46065.0</v>
      </c>
      <c r="E17" s="21">
        <f>D17+1</f>
        <v>46066.0</v>
      </c>
      <c r="F17" s="21">
        <f>E17+1</f>
        <v>46067.0</v>
      </c>
      <c r="G17" s="21">
        <f>F17+1</f>
        <v>46068.0</v>
      </c>
      <c r="J17" s="17" t="s">
        <v>49</v>
      </c>
      <c r="K17" s="22">
        <f>DATE(2026,10,12)</f>
        <v>46307.0</v>
      </c>
    </row>
    <row r="18" spans="1:11">
      <c r="A18" s="21">
        <f>G17+1</f>
        <v>46069.0</v>
      </c>
      <c r="B18" s="21">
        <f>A18+1</f>
        <v>46070.0</v>
      </c>
      <c r="C18" s="21">
        <f>B18+1</f>
        <v>46071.0</v>
      </c>
      <c r="D18" s="21">
        <f>C18+1</f>
        <v>46072.0</v>
      </c>
      <c r="E18" s="21">
        <f>D18+1</f>
        <v>46073.0</v>
      </c>
      <c r="F18" s="21">
        <f>E18+1</f>
        <v>46074.0</v>
      </c>
      <c r="G18" s="21">
        <f>F18+1</f>
        <v>46075.0</v>
      </c>
      <c r="J18" s="17" t="s">
        <v>50</v>
      </c>
      <c r="K18">
        <f>SUMPRODUCT((WEEKDAY(J3:J11,2)&lt;6)*1)</f>
        <v>8</v>
      </c>
    </row>
    <row r="19" spans="1:11">
      <c r="A19" s="21">
        <f>G18+1</f>
        <v>46076.0</v>
      </c>
      <c r="B19" s="21">
        <f>A19+1</f>
        <v>46077.0</v>
      </c>
      <c r="C19" s="21">
        <f>B19+1</f>
        <v>46078.0</v>
      </c>
      <c r="D19" s="21">
        <f>C19+1</f>
        <v>46079.0</v>
      </c>
      <c r="E19" s="21">
        <f>D19+1</f>
        <v>46080.0</v>
      </c>
      <c r="F19" s="21">
        <f>E19+1</f>
        <v>46081.0</v>
      </c>
      <c r="G19" s="21">
        <f>F19+1</f>
        <v>46082.0</v>
      </c>
      <c r="J19" s="17" t="s">
        <v>51</v>
      </c>
      <c r="K19" s="23">
        <f>K16</f>
        <v>46065.0</v>
      </c>
    </row>
    <row r="20" spans="1:11">
      <c r="A20" s="21">
        <f>G19+1</f>
        <v>46083.0</v>
      </c>
      <c r="B20" s="21">
        <f>A20+1</f>
        <v>46084.0</v>
      </c>
      <c r="C20" s="21">
        <f>B20+1</f>
        <v>46085.0</v>
      </c>
      <c r="D20" s="21">
        <f>C20+1</f>
        <v>46086.0</v>
      </c>
      <c r="E20" s="21">
        <f>D20+1</f>
        <v>46087.0</v>
      </c>
      <c r="F20" s="21">
        <f>E20+1</f>
        <v>46088.0</v>
      </c>
      <c r="G20" s="21">
        <f>F20+1</f>
        <v>46089.0</v>
      </c>
    </row>
  </sheetData>
  <mergeCells count="3">
    <mergeCell ref="A1:H1"/>
    <mergeCell ref="A3:G3"/>
    <mergeCell ref="A13:G13"/>
  </mergeCells>
  <conditionalFormatting sqref="A15:G20">
    <cfRule type="expression" dxfId="0" priority="3">
      <formula>MONTH(A15)&lt;&gt;2</formula>
    </cfRule>
  </conditionalFormatting>
  <conditionalFormatting sqref="A5:G10">
    <cfRule type="expression" dxfId="0" priority="1">
      <formula>MONTH(A5)&lt;&gt;1</formula>
    </cfRule>
  </conditionalFormatting>
  <conditionalFormatting sqref="F15:G20">
    <cfRule type="expression" dxfId="1" priority="4">
      <formula>MONTH(F15)=2</formula>
    </cfRule>
  </conditionalFormatting>
  <conditionalFormatting sqref="F5:G10">
    <cfRule type="expression" dxfId="1" priority="2">
      <formula>MONTH(F5)=1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Horario</vt:lpstr>
      <vt:lpstr>Turnos</vt:lpstr>
      <vt:lpstr>Calendario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horario_calendario.xlsx</dc:title>
  <dc:creator>Sheetlight corpus</dc:creator>
  <cp:lastModifiedBy>Sheetlight corpus</cp:lastModifiedBy>
  <dcterms:created xsi:type="dcterms:W3CDTF">2025-01-01T09:00:00Z</dcterms:created>
  <dcterms:modified xsi:type="dcterms:W3CDTF">2025-01-01T09:00:00Z</dcterms:modified>
</cp:coreProperties>
</file>
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forme" sheetId="1" r:id="rId1"/>
    <sheet name="Datos" sheetId="2" r:id="rId2"/>
  </sheets>
  <definedNames>
    <definedName name="Regiones">Datos!$B$1:$E$1</definedName>
    <definedName name="Ventas">Datos!$F$2:$F$13</definedName>
  </definedNames>
  <calcPr calcId="124519" fullCalcOnLoad="1"/>
</workbook>
</file>

<file path=xl/comments1.xml><?xml version="1.0" encoding="utf-8"?>
<comments xmlns="http://schemas.openxmlformats.org/spreadsheetml/2006/main">
  <authors>
    <author>Sheetlight</author>
  </authors>
  <commentList>
    <comment ref="B5" authorId="0">
      <text>
        <r>
          <rPr>
            <sz val="8"/>
            <color indexed="81"/>
            <rFont val="Tahoma"/>
            <family val="2"/>
          </rPr>
          <t>Incluye las cuatro regiones. Fuente: ERP.</t>
        </r>
      </text>
    </comment>
    <comment ref="B6" authorId="0">
      <text>
        <r>
          <rPr>
            <sz val="8"/>
            <color indexed="81"/>
            <rFont val="Tahoma"/>
            <family val="2"/>
          </rPr>
          <t>Mes con mayor facturación total.</t>
        </r>
      </text>
    </comment>
    <comment ref="B9" authorId="0">
      <text>
        <r>
          <rPr>
            <sz val="8"/>
            <color indexed="81"/>
            <rFont val="Tahoma"/>
            <family val="2"/>
          </rPr>
          <t>Cambie la región en B8 (lista desplegable).</t>
        </r>
      </text>
    </comment>
  </commentList>
</comments>
</file>

<file path=xl/sharedStrings.xml><?xml version="1.0" encoding="utf-8"?>
<sst xmlns="http://schemas.openxmlformats.org/spreadsheetml/2006/main" count="34" uniqueCount="32">
  <si>
    <t>Mes</t>
  </si>
  <si>
    <t>Norte</t>
  </si>
  <si>
    <t>Sur</t>
  </si>
  <si>
    <t>Este</t>
  </si>
  <si>
    <t>Oeste</t>
  </si>
  <si>
    <t>Total</t>
  </si>
  <si>
    <t>Objetivo</t>
  </si>
  <si>
    <t>% objetivo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</si>
  <si>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</si>
  <si>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</si>
  <si>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</si>
  <si>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</si>
  <si>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</si>
  <si>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</si>
  <si>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</si>
  <si>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</si>
  <si>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</si>
  <si>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</si>
  <si>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</si>
  <si>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</si>
  <si>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Informe de ventas 2025</t>
  </si>
  <si>
    <t>Ventas totales</t>
  </si>
  <si>
    <t>Mejor mes</t>
  </si>
  <si>
    <t>Crecimiento dic. / ene.</t>
  </si>
  <si>
    <t>Región seleccionada</t>
  </si>
  <si>
    <t>Ventas de la región</t>
  </si>
  <si>
    <t>Mes (1-12)</t>
  </si>
  <si>
    <t>Ventas del mes</t>
  </si>
  <si>
    <t>Fecha de corte</t>
  </si>
  <si>
    <t>Media mensual</t>
  </si>
  <si>
    <t>Ver datos</t>
  </si>
  <si>
    <t>Fuente: INE</t>
  </si>
</sst>
</file>

<file path=xl/styles.xml><?xml version="1.0" encoding="utf-8"?>
<styleSheet xmlns="http://schemas.openxmlformats.org/spreadsheetml/2006/main">
  <numFmts count="3">
    <numFmt numFmtId="164" formatCode="#,##0 &quot;€&quot;"/>
    <numFmt numFmtId="165" formatCode="0.0%"/>
    <numFmt numFmtId="166" formatCode="dd/mm/yyyy"/>
  </numFmts>
  <fonts count="6">
    <font>
      <sz val="11"/>
      <color theme="1"/>
      <name val="Calibri"/>
      <family val="2"/>
      <scheme val="minor"/>
    </font>
    <font>
      <b/>
      <sz val="16"/>
      <color rgb="FF1F4E78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color rgb="FFFFFFFF"/>
      <name val="Calibri"/>
      <family val="2"/>
      <scheme val="minor"/>
    </font>
    <font>
      <sz val="8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1" applyAlignment="1" applyProtection="1"/>
    <xf numFmtId="0" fontId="4" fillId="3" borderId="1" xfId="0" applyFont="1" applyFill="1" applyBorder="1" applyAlignment="1">
      <alignment horizontal="center" vertical="center" wrapText="1"/>
    </xf>
    <xf numFmtId="0" fontId="2" fillId="4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Ventas por región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Datos!$B$1</c:f>
              <c:strCache>
                <c:ptCount val="1"/>
                <c:pt idx="0">
                  <c:v>Norte</c:v>
                </c:pt>
              </c:strCache>
            </c:strRef>
          </c:tx>
          <c:cat>
            <c:strRef>
              <c:f>Datos!$A$2:$A$13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Datos!$B$2:$B$13</c:f>
              <c:numCache>
                <c:formatCode>General</c:formatCode>
                <c:ptCount val="12"/>
                <c:pt idx="0">
                  <c:v>10322</c:v>
                </c:pt>
                <c:pt idx="1">
                  <c:v>9097</c:v>
                </c:pt>
                <c:pt idx="2">
                  <c:v>9386</c:v>
                </c:pt>
                <c:pt idx="3">
                  <c:v>12541</c:v>
                </c:pt>
                <c:pt idx="4">
                  <c:v>9327</c:v>
                </c:pt>
                <c:pt idx="5">
                  <c:v>10167</c:v>
                </c:pt>
                <c:pt idx="6">
                  <c:v>19380</c:v>
                </c:pt>
                <c:pt idx="7">
                  <c:v>15100</c:v>
                </c:pt>
                <c:pt idx="8">
                  <c:v>10427</c:v>
                </c:pt>
                <c:pt idx="9">
                  <c:v>13236</c:v>
                </c:pt>
                <c:pt idx="10">
                  <c:v>17425</c:v>
                </c:pt>
                <c:pt idx="11">
                  <c:v>21112</c:v>
                </c:pt>
              </c:numCache>
            </c:numRef>
          </c:val>
        </c:ser>
        <c:ser>
          <c:idx val="1"/>
          <c:order val="1"/>
          <c:tx>
            <c:strRef>
              <c:f>Datos!$C$1</c:f>
              <c:strCache>
                <c:ptCount val="1"/>
                <c:pt idx="0">
                  <c:v>Sur</c:v>
                </c:pt>
              </c:strCache>
            </c:strRef>
          </c:tx>
          <c:cat>
            <c:strRef>
              <c:f>Datos!$A$2:$A$13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Datos!$C$2:$C$13</c:f>
              <c:numCache>
                <c:formatCode>General</c:formatCode>
                <c:ptCount val="12"/>
                <c:pt idx="0">
                  <c:v>11603</c:v>
                </c:pt>
                <c:pt idx="1">
                  <c:v>7097</c:v>
                </c:pt>
                <c:pt idx="2">
                  <c:v>13456</c:v>
                </c:pt>
                <c:pt idx="3">
                  <c:v>12861</c:v>
                </c:pt>
                <c:pt idx="4">
                  <c:v>19003</c:v>
                </c:pt>
                <c:pt idx="5">
                  <c:v>10506</c:v>
                </c:pt>
                <c:pt idx="6">
                  <c:v>24544</c:v>
                </c:pt>
                <c:pt idx="7">
                  <c:v>20903</c:v>
                </c:pt>
                <c:pt idx="8">
                  <c:v>8161</c:v>
                </c:pt>
                <c:pt idx="9">
                  <c:v>8454</c:v>
                </c:pt>
                <c:pt idx="10">
                  <c:v>13138</c:v>
                </c:pt>
                <c:pt idx="11">
                  <c:v>20281</c:v>
                </c:pt>
              </c:numCache>
            </c:numRef>
          </c:val>
        </c:ser>
        <c:ser>
          <c:idx val="2"/>
          <c:order val="2"/>
          <c:tx>
            <c:strRef>
              <c:f>Datos!$D$1</c:f>
              <c:strCache>
                <c:ptCount val="1"/>
                <c:pt idx="0">
                  <c:v>Este</c:v>
                </c:pt>
              </c:strCache>
            </c:strRef>
          </c:tx>
          <c:cat>
            <c:strRef>
              <c:f>Datos!$A$2:$A$13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Datos!$D$2:$D$13</c:f>
              <c:numCache>
                <c:formatCode>General</c:formatCode>
                <c:ptCount val="12"/>
                <c:pt idx="0">
                  <c:v>14676</c:v>
                </c:pt>
                <c:pt idx="1">
                  <c:v>7990</c:v>
                </c:pt>
                <c:pt idx="2">
                  <c:v>18880</c:v>
                </c:pt>
                <c:pt idx="3">
                  <c:v>16296</c:v>
                </c:pt>
                <c:pt idx="4">
                  <c:v>16177</c:v>
                </c:pt>
                <c:pt idx="5">
                  <c:v>22433</c:v>
                </c:pt>
                <c:pt idx="6">
                  <c:v>10525</c:v>
                </c:pt>
                <c:pt idx="7">
                  <c:v>11289</c:v>
                </c:pt>
                <c:pt idx="8">
                  <c:v>15280</c:v>
                </c:pt>
                <c:pt idx="9">
                  <c:v>16563</c:v>
                </c:pt>
                <c:pt idx="10">
                  <c:v>19762</c:v>
                </c:pt>
                <c:pt idx="11">
                  <c:v>15119</c:v>
                </c:pt>
              </c:numCache>
            </c:numRef>
          </c:val>
        </c:ser>
        <c:ser>
          <c:idx val="3"/>
          <c:order val="3"/>
          <c:tx>
            <c:strRef>
              <c:f>Datos!$E$1</c:f>
              <c:strCache>
                <c:ptCount val="1"/>
                <c:pt idx="0">
                  <c:v>Oeste</c:v>
                </c:pt>
              </c:strCache>
            </c:strRef>
          </c:tx>
          <c:cat>
            <c:strRef>
              <c:f>Datos!$A$2:$A$13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Datos!$E$2:$E$13</c:f>
              <c:numCache>
                <c:formatCode>General</c:formatCode>
                <c:ptCount val="12"/>
                <c:pt idx="0">
                  <c:v>8096</c:v>
                </c:pt>
                <c:pt idx="1">
                  <c:v>6890</c:v>
                </c:pt>
                <c:pt idx="2">
                  <c:v>15506</c:v>
                </c:pt>
                <c:pt idx="3">
                  <c:v>11913</c:v>
                </c:pt>
                <c:pt idx="4">
                  <c:v>9811</c:v>
                </c:pt>
                <c:pt idx="5">
                  <c:v>10686</c:v>
                </c:pt>
                <c:pt idx="6">
                  <c:v>15788</c:v>
                </c:pt>
                <c:pt idx="7">
                  <c:v>12210</c:v>
                </c:pt>
                <c:pt idx="8">
                  <c:v>16910</c:v>
                </c:pt>
                <c:pt idx="9">
                  <c:v>16845</c:v>
                </c:pt>
                <c:pt idx="10">
                  <c:v>17123</c:v>
                </c:pt>
                <c:pt idx="11">
                  <c:v>18854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Euros</a:t>
                </a:r>
              </a:p>
            </c:rich>
          </c:tx>
          <c:layout/>
        </c:title>
        <c:numFmt formatCode="#,##0" sourceLinked="0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Total vs objetivo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Datos!$F$1</c:f>
              <c:strCache>
                <c:ptCount val="1"/>
                <c:pt idx="0">
                  <c:v>Total</c:v>
                </c:pt>
              </c:strCache>
            </c:strRef>
          </c:tx>
          <c:marker>
            <c:symbol val="circle"/>
          </c:marker>
          <c:cat>
            <c:strRef>
              <c:f>Datos!$A$2:$A$13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Datos!$F$2:$F$13</c:f>
              <c:numCache>
                <c:formatCode>General</c:formatCode>
                <c:ptCount val="12"/>
                <c:pt idx="0">
                  <c:v>44697.0</c:v>
                </c:pt>
                <c:pt idx="1">
                  <c:v>31074.0</c:v>
                </c:pt>
                <c:pt idx="2">
                  <c:v>57228.0</c:v>
                </c:pt>
                <c:pt idx="3">
                  <c:v>53611.0</c:v>
                </c:pt>
                <c:pt idx="4">
                  <c:v>54318.0</c:v>
                </c:pt>
                <c:pt idx="5">
                  <c:v>53792.0</c:v>
                </c:pt>
                <c:pt idx="6">
                  <c:v>70237.0</c:v>
                </c:pt>
                <c:pt idx="7">
                  <c:v>59502.0</c:v>
                </c:pt>
                <c:pt idx="8">
                  <c:v>50778.0</c:v>
                </c:pt>
                <c:pt idx="9">
                  <c:v>55098.0</c:v>
                </c:pt>
                <c:pt idx="10">
                  <c:v>67448.0</c:v>
                </c:pt>
                <c:pt idx="11">
                  <c:v>75366.0</c:v>
                </c:pt>
              </c:numCache>
            </c:numRef>
          </c:val>
        </c:ser>
        <c:ser>
          <c:idx val="1"/>
          <c:order val="1"/>
          <c:tx>
            <c:strRef>
              <c:f>Datos!$G$1</c:f>
              <c:strCache>
                <c:ptCount val="1"/>
                <c:pt idx="0">
                  <c:v>Objetivo</c:v>
                </c:pt>
              </c:strCache>
            </c:strRef>
          </c:tx>
          <c:spPr>
            <a:ln>
              <a:prstDash val="dash"/>
            </a:ln>
          </c:spPr>
          <c:marker>
            <c:symbol val="none"/>
          </c:marker>
          <c:cat>
            <c:strRef>
              <c:f>Datos!$A$2:$A$13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Datos!$G$2:$G$13</c:f>
              <c:numCache>
                <c:formatCode>General</c:formatCode>
                <c:ptCount val="12"/>
                <c:pt idx="0">
                  <c:v>60000</c:v>
                </c:pt>
                <c:pt idx="1">
                  <c:v>60000</c:v>
                </c:pt>
                <c:pt idx="2">
                  <c:v>60000</c:v>
                </c:pt>
                <c:pt idx="3">
                  <c:v>60000</c:v>
                </c:pt>
                <c:pt idx="4">
                  <c:v>60000</c:v>
                </c:pt>
                <c:pt idx="5">
                  <c:v>60000</c:v>
                </c:pt>
                <c:pt idx="6">
                  <c:v>60000</c:v>
                </c:pt>
                <c:pt idx="7">
                  <c:v>60000</c:v>
                </c:pt>
                <c:pt idx="8">
                  <c:v>60000</c:v>
                </c:pt>
                <c:pt idx="9">
                  <c:v>60000</c:v>
                </c:pt>
                <c:pt idx="10">
                  <c:v>60000</c:v>
                </c:pt>
                <c:pt idx="11">
                  <c:v>60000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Reparto por región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Reparto anual</c:v>
          </c:tx>
          <c:dLbls>
            <c:showPercent val="1"/>
          </c:dLbls>
          <c:cat>
            <c:strRef>
              <c:f>Datos!$B$1:$E$1</c:f>
              <c:strCache>
                <c:ptCount val="4"/>
                <c:pt idx="0">
                  <c:v>Norte</c:v>
                </c:pt>
                <c:pt idx="1">
                  <c:v>Sur</c:v>
                </c:pt>
                <c:pt idx="2">
                  <c:v>Este</c:v>
                </c:pt>
                <c:pt idx="3">
                  <c:v>Oeste</c:v>
                </c:pt>
              </c:strCache>
            </c:strRef>
          </c:cat>
          <c:val>
            <c:numRef>
              <c:f>Datos!$B$14:$E$14</c:f>
              <c:numCache>
                <c:formatCode>General</c:formatCode>
                <c:ptCount val="4"/>
                <c:pt idx="0">
                  <c:v>157520.0</c:v>
                </c:pt>
                <c:pt idx="1">
                  <c:v>170007.0</c:v>
                </c:pt>
                <c:pt idx="2">
                  <c:v>184990.0</c:v>
                </c:pt>
                <c:pt idx="3">
                  <c:v>160632.0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1.xml"/><Relationship Id="rId3" Type="http://schemas.openxmlformats.org/officeDocument/2006/relationships/chart" Target="../charts/chart2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914400</xdr:colOff>
      <xdr:row>1</xdr:row>
      <xdr:rowOff>266700</xdr:rowOff>
    </xdr:to>
    <xdr:pic>
      <xdr:nvPicPr>
        <xdr:cNvPr id="2" name="Picture 1" descr="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14400" cy="45720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4</xdr:row>
      <xdr:rowOff>0</xdr:rowOff>
    </xdr:from>
    <xdr:to>
      <xdr:col>12</xdr:col>
      <xdr:colOff>457200</xdr:colOff>
      <xdr:row>19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21</xdr:row>
      <xdr:rowOff>0</xdr:rowOff>
    </xdr:from>
    <xdr:to>
      <xdr:col>12</xdr:col>
      <xdr:colOff>457200</xdr:colOff>
      <xdr:row>35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0</xdr:colOff>
      <xdr:row>4</xdr:row>
      <xdr:rowOff>0</xdr:rowOff>
    </xdr:from>
    <xdr:to>
      <xdr:col>19</xdr:col>
      <xdr:colOff>304800</xdr:colOff>
      <xdr:row>18</xdr:row>
      <xdr:rowOff>76200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ne.es/" TargetMode="Externa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H16"/>
  <sheetViews>
    <sheetView tabSelected="1" workbookViewId="0"/>
  </sheetViews>
  <sheetFormatPr defaultRowHeight="15"/>
  <cols>
    <col min="1" max="1" width="24.7109375" customWidth="1"/>
    <col min="2" max="2" width="14.7109375" customWidth="1"/>
  </cols>
  <sheetData>
    <row r="2" spans="1:8" ht="30" customHeight="1">
      <c r="C2" s="1" t="s">
        <v>20</v>
      </c>
      <c r="D2" s="1"/>
      <c r="E2" s="1"/>
      <c r="F2" s="1"/>
      <c r="G2" s="1"/>
      <c r="H2" s="1"/>
    </row>
    <row r="5" spans="1:8">
      <c r="A5" s="2" t="s">
        <v>21</v>
      </c>
      <c r="B5" s="3">
        <f>Datos!F14</f>
        <v>673149.0</v>
      </c>
    </row>
    <row r="6" spans="1:8">
      <c r="A6" s="2" t="s">
        <v>22</v>
      </c>
      <c r="B6" t="str">
        <f>INDEX(Datos!A2:A13,MATCH(MAX(Datos!F2:F13),Datos!F2:F13,0))</f>
        <v>Diciembre</v>
      </c>
    </row>
    <row r="7" spans="1:8">
      <c r="A7" s="2" t="s">
        <v>23</v>
      </c>
      <c r="B7" s="4">
        <f>Datos!F13/Datos!F2-1</f>
        <v>0.6861534331163166</v>
      </c>
    </row>
    <row r="8" spans="1:8">
      <c r="A8" s="2" t="s">
        <v>24</v>
      </c>
      <c r="B8" t="s">
        <v>2</v>
      </c>
    </row>
    <row r="9" spans="1:8">
      <c r="A9" s="2" t="s">
        <v>25</v>
      </c>
      <c r="B9" s="3">
        <f>INDEX(Datos!B14:E14,MATCH(B8,Regiones,0))</f>
        <v>170007.0</v>
      </c>
    </row>
    <row r="10" spans="1:8">
      <c r="A10" s="2" t="s">
        <v>26</v>
      </c>
      <c r="B10">
        <v>6</v>
      </c>
    </row>
    <row r="11" spans="1:8">
      <c r="A11" s="2" t="s">
        <v>27</v>
      </c>
      <c r="B11" s="3">
        <f>INDEX(Ventas,B10)</f>
        <v>53792.0</v>
      </c>
    </row>
    <row r="12" spans="1:8">
      <c r="A12" s="2" t="s">
        <v>28</v>
      </c>
      <c r="B12" s="5">
        <v>46022</v>
      </c>
    </row>
    <row r="13" spans="1:8">
      <c r="A13" s="2" t="s">
        <v>29</v>
      </c>
      <c r="B13" s="3">
        <f>AVERAGE(Ventas)</f>
        <v>56095.75</v>
      </c>
    </row>
    <row r="15" spans="1:8">
      <c r="A15" s="6" t="s">
        <v>30</v>
      </c>
    </row>
    <row r="16" spans="1:8">
      <c r="A16" s="6" t="s">
        <v>31</v>
      </c>
    </row>
  </sheetData>
  <mergeCells count="1">
    <mergeCell ref="C2:H2"/>
  </mergeCells>
  <dataValidations count="3">
    <dataValidation type="list" allowBlank="1" showInputMessage="1" showErrorMessage="1" promptTitle="Región" prompt="Elija una región" sqref="B8">
      <formula1>Regiones</formula1>
    </dataValidation>
    <dataValidation type="whole" allowBlank="1" showInputMessage="1" showErrorMessage="1" errorTitle="Mes no válido" error="Introduzca un número de 1 a 12" sqref="B10">
      <formula1>1</formula1>
      <formula2>12</formula2>
    </dataValidation>
    <dataValidation type="date" allowBlank="1" showInputMessage="1" showErrorMessage="1" sqref="B12">
      <formula1>45658</formula1>
      <formula2>46022</formula2>
    </dataValidation>
  </dataValidations>
  <hyperlinks>
    <hyperlink ref="A15" location="Datos!A1" display="Ver datos"/>
    <hyperlink ref="A16" r:id="rId1"/>
  </hyperlinks>
  <pageMargins left="0.7" right="0.7" top="0.75" bottom="0.75" header="0.3" footer="0.3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7" width="12.7109375" customWidth="1"/>
    <col min="8" max="8" width="11.7109375" customWidth="1"/>
  </cols>
  <sheetData>
    <row r="1" spans="1:8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</row>
    <row r="2" spans="1:8">
      <c r="A2" t="s">
        <v>8</v>
      </c>
      <c r="B2" s="3">
        <v>10322</v>
      </c>
      <c r="C2" s="3">
        <v>11603</v>
      </c>
      <c r="D2" s="3">
        <v>14676</v>
      </c>
      <c r="E2" s="3">
        <v>8096</v>
      </c>
      <c r="F2" s="3">
        <f>SUM(B2:E2)</f>
        <v>44697.0</v>
      </c>
      <c r="G2" s="3">
        <v>60000</v>
      </c>
      <c r="H2" s="4">
        <f>F2/G2</f>
        <v>0.74495</v>
      </c>
    </row>
    <row r="3" spans="1:8">
      <c r="A3" t="s">
        <v>9</v>
      </c>
      <c r="B3" s="3">
        <v>9097</v>
      </c>
      <c r="C3" s="3">
        <v>7097</v>
      </c>
      <c r="D3" s="3">
        <v>7990</v>
      </c>
      <c r="E3" s="3">
        <v>6890</v>
      </c>
      <c r="F3" s="3">
        <f>SUM(B3:E3)</f>
        <v>31074.0</v>
      </c>
      <c r="G3" s="3">
        <v>60000</v>
      </c>
      <c r="H3" s="4">
        <f>F3/G3</f>
        <v>0.5179</v>
      </c>
    </row>
    <row r="4" spans="1:8">
      <c r="A4" t="s">
        <v>10</v>
      </c>
      <c r="B4" s="3">
        <v>9386</v>
      </c>
      <c r="C4" s="3">
        <v>13456</v>
      </c>
      <c r="D4" s="3">
        <v>18880</v>
      </c>
      <c r="E4" s="3">
        <v>15506</v>
      </c>
      <c r="F4" s="3">
        <f>SUM(B4:E4)</f>
        <v>57228.0</v>
      </c>
      <c r="G4" s="3">
        <v>60000</v>
      </c>
      <c r="H4" s="4">
        <f>F4/G4</f>
        <v>0.9538</v>
      </c>
    </row>
    <row r="5" spans="1:8">
      <c r="A5" t="s">
        <v>11</v>
      </c>
      <c r="B5" s="3">
        <v>12541</v>
      </c>
      <c r="C5" s="3">
        <v>12861</v>
      </c>
      <c r="D5" s="3">
        <v>16296</v>
      </c>
      <c r="E5" s="3">
        <v>11913</v>
      </c>
      <c r="F5" s="3">
        <f>SUM(B5:E5)</f>
        <v>53611.0</v>
      </c>
      <c r="G5" s="3">
        <v>60000</v>
      </c>
      <c r="H5" s="4">
        <f>F5/G5</f>
        <v>0.8935166666666666</v>
      </c>
    </row>
    <row r="6" spans="1:8">
      <c r="A6" t="s">
        <v>12</v>
      </c>
      <c r="B6" s="3">
        <v>9327</v>
      </c>
      <c r="C6" s="3">
        <v>19003</v>
      </c>
      <c r="D6" s="3">
        <v>16177</v>
      </c>
      <c r="E6" s="3">
        <v>9811</v>
      </c>
      <c r="F6" s="3">
        <f>SUM(B6:E6)</f>
        <v>54318.0</v>
      </c>
      <c r="G6" s="3">
        <v>60000</v>
      </c>
      <c r="H6" s="4">
        <f>F6/G6</f>
        <v>0.9053</v>
      </c>
    </row>
    <row r="7" spans="1:8">
      <c r="A7" t="s">
        <v>13</v>
      </c>
      <c r="B7" s="3">
        <v>10167</v>
      </c>
      <c r="C7" s="3">
        <v>10506</v>
      </c>
      <c r="D7" s="3">
        <v>22433</v>
      </c>
      <c r="E7" s="3">
        <v>10686</v>
      </c>
      <c r="F7" s="3">
        <f>SUM(B7:E7)</f>
        <v>53792.0</v>
      </c>
      <c r="G7" s="3">
        <v>60000</v>
      </c>
      <c r="H7" s="4">
        <f>F7/G7</f>
        <v>0.8965333333333333</v>
      </c>
    </row>
    <row r="8" spans="1:8">
      <c r="A8" t="s">
        <v>14</v>
      </c>
      <c r="B8" s="3">
        <v>19380</v>
      </c>
      <c r="C8" s="3">
        <v>24544</v>
      </c>
      <c r="D8" s="3">
        <v>10525</v>
      </c>
      <c r="E8" s="3">
        <v>15788</v>
      </c>
      <c r="F8" s="3">
        <f>SUM(B8:E8)</f>
        <v>70237.0</v>
      </c>
      <c r="G8" s="3">
        <v>60000</v>
      </c>
      <c r="H8" s="4">
        <f>F8/G8</f>
        <v>1.1706166666666666</v>
      </c>
    </row>
    <row r="9" spans="1:8">
      <c r="A9" t="s">
        <v>15</v>
      </c>
      <c r="B9" s="3">
        <v>15100</v>
      </c>
      <c r="C9" s="3">
        <v>20903</v>
      </c>
      <c r="D9" s="3">
        <v>11289</v>
      </c>
      <c r="E9" s="3">
        <v>12210</v>
      </c>
      <c r="F9" s="3">
        <f>SUM(B9:E9)</f>
        <v>59502.0</v>
      </c>
      <c r="G9" s="3">
        <v>60000</v>
      </c>
      <c r="H9" s="4">
        <f>F9/G9</f>
        <v>0.9917</v>
      </c>
    </row>
    <row r="10" spans="1:8">
      <c r="A10" t="s">
        <v>16</v>
      </c>
      <c r="B10" s="3">
        <v>10427</v>
      </c>
      <c r="C10" s="3">
        <v>8161</v>
      </c>
      <c r="D10" s="3">
        <v>15280</v>
      </c>
      <c r="E10" s="3">
        <v>16910</v>
      </c>
      <c r="F10" s="3">
        <f>SUM(B10:E10)</f>
        <v>50778.0</v>
      </c>
      <c r="G10" s="3">
        <v>60000</v>
      </c>
      <c r="H10" s="4">
        <f>F10/G10</f>
        <v>0.8463</v>
      </c>
    </row>
    <row r="11" spans="1:8">
      <c r="A11" t="s">
        <v>17</v>
      </c>
      <c r="B11" s="3">
        <v>13236</v>
      </c>
      <c r="C11" s="3">
        <v>8454</v>
      </c>
      <c r="D11" s="3">
        <v>16563</v>
      </c>
      <c r="E11" s="3">
        <v>16845</v>
      </c>
      <c r="F11" s="3">
        <f>SUM(B11:E11)</f>
        <v>55098.0</v>
      </c>
      <c r="G11" s="3">
        <v>60000</v>
      </c>
      <c r="H11" s="4">
        <f>F11/G11</f>
        <v>0.9183</v>
      </c>
    </row>
    <row r="12" spans="1:8">
      <c r="A12" t="s">
        <v>18</v>
      </c>
      <c r="B12" s="3">
        <v>17425</v>
      </c>
      <c r="C12" s="3">
        <v>13138</v>
      </c>
      <c r="D12" s="3">
        <v>19762</v>
      </c>
      <c r="E12" s="3">
        <v>17123</v>
      </c>
      <c r="F12" s="3">
        <f>SUM(B12:E12)</f>
        <v>67448.0</v>
      </c>
      <c r="G12" s="3">
        <v>60000</v>
      </c>
      <c r="H12" s="4">
        <f>F12/G12</f>
        <v>1.1241333333333334</v>
      </c>
    </row>
    <row r="13" spans="1:8">
      <c r="A13" t="s">
        <v>19</v>
      </c>
      <c r="B13" s="3">
        <v>21112</v>
      </c>
      <c r="C13" s="3">
        <v>20281</v>
      </c>
      <c r="D13" s="3">
        <v>15119</v>
      </c>
      <c r="E13" s="3">
        <v>18854</v>
      </c>
      <c r="F13" s="3">
        <f>SUM(B13:E13)</f>
        <v>75366.0</v>
      </c>
      <c r="G13" s="3">
        <v>60000</v>
      </c>
      <c r="H13" s="4">
        <f>F13/G13</f>
        <v>1.2561</v>
      </c>
    </row>
    <row r="14" spans="1:8">
      <c r="A14" s="8" t="s">
        <v>5</v>
      </c>
      <c r="B14" s="3">
        <f>SUM(B2:B13)</f>
        <v>157520.0</v>
      </c>
      <c r="C14" s="3">
        <f>SUM(C2:C13)</f>
        <v>170007.0</v>
      </c>
      <c r="D14" s="3">
        <f>SUM(D2:D13)</f>
        <v>184990.0</v>
      </c>
      <c r="E14" s="3">
        <f>SUM(E2:E13)</f>
        <v>160632.0</v>
      </c>
      <c r="F14" s="3">
        <f>SUM(F2:F13)</f>
        <v>673149.0</v>
      </c>
      <c r="G14" s="3">
        <f>SUM(G2:G13)</f>
        <v>720000.0</v>
      </c>
      <c r="H14" s="4">
        <f>F14/G14</f>
        <v>0.9349291666666667</v>
      </c>
    </row>
  </sheetData>
  <conditionalFormatting sqref="H2:H13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Informe</vt:lpstr>
      <vt:lpstr>Datos</vt:lpstr>
      <vt:lpstr>Regiones</vt:lpstr>
      <vt:lpstr>Ventas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informe_ventas.xlsx</dc:title>
  <dc:creator>Sheetlight corpus</dc:creator>
  <cp:lastModifiedBy>Sheetlight corpus</cp:lastModifiedBy>
  <dcterms:created xsi:type="dcterms:W3CDTF">2025-01-01T09:00:00Z</dcterms:created>
  <dcterms:modified xsi:type="dcterms:W3CDTF">2025-01-01T09:00:00Z</dcterms:modified>
</cp:coreProperties>
</file>
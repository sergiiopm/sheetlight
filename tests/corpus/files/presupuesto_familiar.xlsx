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upuesto 2025" sheetId="1" r:id="rId1"/>
    <sheet name="Movimientos" sheetId="2" r:id="rId2"/>
    <sheet name="Categorías" sheetId="3" r:id="rId3"/>
  </sheets>
  <definedNames>
    <definedName name="_xlnm._FilterDatabase" localSheetId="1" hidden="1">Movimientos!$A$1:$F$312</definedName>
  </definedNames>
  <calcPr calcId="124519" fullCalcOnLoad="1"/>
</workbook>
</file>

<file path=xl/sharedStrings.xml><?xml version="1.0" encoding="utf-8"?>
<sst xmlns="http://schemas.openxmlformats.org/spreadsheetml/2006/main" count="1024" uniqueCount="94">
  <si>
    <t>Categoría</t>
  </si>
  <si>
    <t>Tipo</t>
  </si>
  <si>
    <t>Presupuesto mensual</t>
  </si>
  <si>
    <t>Nómina</t>
  </si>
  <si>
    <t>Ingreso</t>
  </si>
  <si>
    <t>Nómina pareja</t>
  </si>
  <si>
    <t>Extras</t>
  </si>
  <si>
    <t>Hipoteca</t>
  </si>
  <si>
    <t>Gasto</t>
  </si>
  <si>
    <t>Comunidad</t>
  </si>
  <si>
    <t>Luz</t>
  </si>
  <si>
    <t>Agua</t>
  </si>
  <si>
    <t>Gas</t>
  </si>
  <si>
    <t>Internet y móvil</t>
  </si>
  <si>
    <t>Supermercado</t>
  </si>
  <si>
    <t>Transporte</t>
  </si>
  <si>
    <t>Seguros</t>
  </si>
  <si>
    <t>Ocio</t>
  </si>
  <si>
    <t>Restaurantes</t>
  </si>
  <si>
    <t>Ropa</t>
  </si>
  <si>
    <t>Salud</t>
  </si>
  <si>
    <t>Educación</t>
  </si>
  <si>
    <t>Regalos</t>
  </si>
  <si>
    <t>Fecha</t>
  </si>
  <si>
    <t>Concepto</t>
  </si>
  <si>
    <t>Importe</t>
  </si>
  <si>
    <t>Mes</t>
  </si>
  <si>
    <t>Recibo hipoteca BBVA</t>
  </si>
  <si>
    <t>Restaurante El Puerto</t>
  </si>
  <si>
    <t>Academia de inglés</t>
  </si>
  <si>
    <t>Movistar fibra + móvil</t>
  </si>
  <si>
    <t>Dentista</t>
  </si>
  <si>
    <t>Cuota comunidad propietarios</t>
  </si>
  <si>
    <t>Gasolina Repsol</t>
  </si>
  <si>
    <t>Seguro de vida</t>
  </si>
  <si>
    <t>Carrefour</t>
  </si>
  <si>
    <t>Telepizza</t>
  </si>
  <si>
    <t>Iberdrola Clientes S.A.U.</t>
  </si>
  <si>
    <t>Alcampo</t>
  </si>
  <si>
    <t>Naturgy gas</t>
  </si>
  <si>
    <t>Cine Yelmo</t>
  </si>
  <si>
    <t>Concierto</t>
  </si>
  <si>
    <t>Clases particulares</t>
  </si>
  <si>
    <t>Canal de Isabel II</t>
  </si>
  <si>
    <t>Bar Manolo</t>
  </si>
  <si>
    <t>Parking</t>
  </si>
  <si>
    <t>Mercadona</t>
  </si>
  <si>
    <t>Nómina Hospital La Paz</t>
  </si>
  <si>
    <t>Frutería Paco</t>
  </si>
  <si>
    <t>Nómina Talleres Martínez</t>
  </si>
  <si>
    <t>Venta Wallapop</t>
  </si>
  <si>
    <t>Netflix</t>
  </si>
  <si>
    <t>Zara</t>
  </si>
  <si>
    <t>Lidl</t>
  </si>
  <si>
    <t>Abono transporte</t>
  </si>
  <si>
    <t>El Corte Inglés</t>
  </si>
  <si>
    <t>Escapada fin de semana</t>
  </si>
  <si>
    <t>Sushi Kō</t>
  </si>
  <si>
    <t>Regalo cumpleaños</t>
  </si>
  <si>
    <t>Seguro hogar Mapfre (anual)</t>
  </si>
  <si>
    <t>Cabify</t>
  </si>
  <si>
    <t>Decathlon</t>
  </si>
  <si>
    <t>Óptica</t>
  </si>
  <si>
    <t>Farmacia</t>
  </si>
  <si>
    <t>Libros de texto curso 25/26</t>
  </si>
  <si>
    <t>Devolución Hacienda</t>
  </si>
  <si>
    <t>Regalos de Navidad</t>
  </si>
  <si>
    <t>Presupuesto familiar 2025</t>
  </si>
  <si>
    <t>Importes en euros. Real según la hoja Movimientos.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</si>
  <si>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</si>
  <si>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</si>
  <si>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</si>
  <si>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</si>
  <si>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</si>
  <si>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</si>
  <si>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</si>
  <si>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</si>
  <si>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</si>
  <si>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</si>
  <si>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</si>
  <si>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</si>
  <si>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</si>
  <si>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Media</t>
  </si>
  <si>
    <t>% s/ total</t>
  </si>
  <si>
    <t>Total (SUMIF)</t>
  </si>
  <si>
    <t>Presupuesto</t>
  </si>
  <si>
    <t>Desviación</t>
  </si>
  <si>
    <t>% ejecutado</t>
  </si>
  <si>
    <t>INGRESOS</t>
  </si>
  <si>
    <t>Total ingresos</t>
  </si>
  <si>
    <t>GASTOS</t>
  </si>
  <si>
    <t>Total gastos</t>
  </si>
  <si>
    <t>Ahorro neto</t>
  </si>
  <si>
    <t>Tasa de ahorro</t>
  </si>
</sst>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#,##0.00\ [$€-C0A]"/>
    <numFmt numFmtId="166" formatCode="0.0%"/>
    <numFmt numFmtId="167" formatCode="#,##0.00 &quot;€&quot;;[Red]-#,##0.00 &quot;€&quot;"/>
    <numFmt numFmtId="168" formatCode="dd/mm/yyyy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4" fillId="4" borderId="2" xfId="0" applyNumberFormat="1" applyFont="1" applyFill="1" applyBorder="1"/>
    <xf numFmtId="165" fontId="4" fillId="4" borderId="2" xfId="0" applyNumberFormat="1" applyFont="1" applyFill="1" applyBorder="1"/>
    <xf numFmtId="166" fontId="4" fillId="4" borderId="2" xfId="0" applyNumberFormat="1" applyFont="1" applyFill="1" applyBorder="1"/>
    <xf numFmtId="167" fontId="4" fillId="4" borderId="2" xfId="0" applyNumberFormat="1" applyFont="1" applyFill="1" applyBorder="1"/>
    <xf numFmtId="16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2.7109375" customWidth="1"/>
    <col min="2" max="13" width="11.28515625" customWidth="1"/>
    <col min="14" max="20" width="13.7109375" customWidth="1"/>
  </cols>
  <sheetData>
    <row r="1" spans="1:20" ht="28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68</v>
      </c>
    </row>
    <row r="3" spans="1:20">
      <c r="A3" s="3" t="s">
        <v>0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  <c r="I3" s="3" t="s">
        <v>76</v>
      </c>
      <c r="J3" s="3" t="s">
        <v>77</v>
      </c>
      <c r="K3" s="3" t="s">
        <v>78</v>
      </c>
      <c r="L3" s="3" t="s">
        <v>79</v>
      </c>
      <c r="M3" s="3" t="s">
        <v>80</v>
      </c>
      <c r="N3" s="3" t="s">
        <v>81</v>
      </c>
      <c r="O3" s="3" t="s">
        <v>82</v>
      </c>
      <c r="P3" s="3" t="s">
        <v>83</v>
      </c>
      <c r="Q3" s="3" t="s">
        <v>84</v>
      </c>
      <c r="R3" s="3" t="s">
        <v>85</v>
      </c>
      <c r="S3" s="3" t="s">
        <v>86</v>
      </c>
      <c r="T3" s="3" t="s">
        <v>87</v>
      </c>
    </row>
    <row r="4" spans="1:20">
      <c r="A4" s="4" t="s">
        <v>88</v>
      </c>
    </row>
    <row r="5" spans="1:20">
      <c r="A5" t="s">
        <v>3</v>
      </c>
      <c r="B5" s="5">
        <f>SUMIFS(Movimientos!$E$2:$E$312,Movimientos!$C$2:$C$312,$A5,Movimientos!$F$2:$F$312,1)</f>
        <v>2450</v>
      </c>
      <c r="C5" s="5">
        <f>SUMIFS(Movimientos!$E$2:$E$312,Movimientos!$C$2:$C$312,$A5,Movimientos!$F$2:$F$312,2)</f>
        <v>2450</v>
      </c>
      <c r="D5" s="5">
        <f>SUMIFS(Movimientos!$E$2:$E$312,Movimientos!$C$2:$C$312,$A5,Movimientos!$F$2:$F$312,3)</f>
        <v>2450</v>
      </c>
      <c r="E5" s="5">
        <f>SUMIFS(Movimientos!$E$2:$E$312,Movimientos!$C$2:$C$312,$A5,Movimientos!$F$2:$F$312,4)</f>
        <v>2450</v>
      </c>
      <c r="F5" s="5">
        <f>SUMIFS(Movimientos!$E$2:$E$312,Movimientos!$C$2:$C$312,$A5,Movimientos!$F$2:$F$312,5)</f>
        <v>2450</v>
      </c>
      <c r="G5" s="5">
        <f>SUMIFS(Movimientos!$E$2:$E$312,Movimientos!$C$2:$C$312,$A5,Movimientos!$F$2:$F$312,6)</f>
        <v>4900</v>
      </c>
      <c r="H5" s="5">
        <f>SUMIFS(Movimientos!$E$2:$E$312,Movimientos!$C$2:$C$312,$A5,Movimientos!$F$2:$F$312,7)</f>
        <v>2450</v>
      </c>
      <c r="I5" s="5">
        <f>SUMIFS(Movimientos!$E$2:$E$312,Movimientos!$C$2:$C$312,$A5,Movimientos!$F$2:$F$312,8)</f>
        <v>2450</v>
      </c>
      <c r="J5" s="5">
        <f>SUMIFS(Movimientos!$E$2:$E$312,Movimientos!$C$2:$C$312,$A5,Movimientos!$F$2:$F$312,9)</f>
        <v>2450</v>
      </c>
      <c r="K5" s="5">
        <f>SUMIFS(Movimientos!$E$2:$E$312,Movimientos!$C$2:$C$312,$A5,Movimientos!$F$2:$F$312,10)</f>
        <v>2450</v>
      </c>
      <c r="L5" s="5">
        <f>SUMIFS(Movimientos!$E$2:$E$312,Movimientos!$C$2:$C$312,$A5,Movimientos!$F$2:$F$312,11)</f>
        <v>2450</v>
      </c>
      <c r="M5" s="5">
        <f>SUMIFS(Movimientos!$E$2:$E$312,Movimientos!$C$2:$C$312,$A5,Movimientos!$F$2:$F$312,12)</f>
        <v>4900</v>
      </c>
      <c r="N5" s="6">
        <f>SUM(B5:M5)</f>
        <v>34300</v>
      </c>
      <c r="O5" s="5">
        <f>AVERAGE(B5:M5)</f>
        <v>2858.3333333333335</v>
      </c>
      <c r="P5" s="7">
        <f>N5/N$8</f>
        <v>0.5426393503388807</v>
      </c>
      <c r="Q5" s="5">
        <f>SUMIF(Movimientos!$C$2:$C$312,$A5,Movimientos!$E$2:$E$312)</f>
        <v>34300</v>
      </c>
      <c r="R5" s="5">
        <f>VLOOKUP($A5,Categorías!$A$2:$C$19,3,FALSE)*12</f>
        <v>29400.0</v>
      </c>
      <c r="S5" s="8">
        <f>N5-R5</f>
        <v>4900.0</v>
      </c>
      <c r="T5" s="7">
        <f>IF(R5=0,0,N5/R5)</f>
        <v>1.1666666666666667</v>
      </c>
    </row>
    <row r="6" spans="1:20">
      <c r="A6" t="s">
        <v>5</v>
      </c>
      <c r="B6" s="5">
        <f>SUMIFS(Movimientos!$E$2:$E$312,Movimientos!$C$2:$C$312,$A6,Movimientos!$F$2:$F$312,1)</f>
        <v>1980</v>
      </c>
      <c r="C6" s="5">
        <f>SUMIFS(Movimientos!$E$2:$E$312,Movimientos!$C$2:$C$312,$A6,Movimientos!$F$2:$F$312,2)</f>
        <v>1980</v>
      </c>
      <c r="D6" s="5">
        <f>SUMIFS(Movimientos!$E$2:$E$312,Movimientos!$C$2:$C$312,$A6,Movimientos!$F$2:$F$312,3)</f>
        <v>1980</v>
      </c>
      <c r="E6" s="5">
        <f>SUMIFS(Movimientos!$E$2:$E$312,Movimientos!$C$2:$C$312,$A6,Movimientos!$F$2:$F$312,4)</f>
        <v>1980</v>
      </c>
      <c r="F6" s="5">
        <f>SUMIFS(Movimientos!$E$2:$E$312,Movimientos!$C$2:$C$312,$A6,Movimientos!$F$2:$F$312,5)</f>
        <v>1980</v>
      </c>
      <c r="G6" s="5">
        <f>SUMIFS(Movimientos!$E$2:$E$312,Movimientos!$C$2:$C$312,$A6,Movimientos!$F$2:$F$312,6)</f>
        <v>1980</v>
      </c>
      <c r="H6" s="5">
        <f>SUMIFS(Movimientos!$E$2:$E$312,Movimientos!$C$2:$C$312,$A6,Movimientos!$F$2:$F$312,7)</f>
        <v>3960</v>
      </c>
      <c r="I6" s="5">
        <f>SUMIFS(Movimientos!$E$2:$E$312,Movimientos!$C$2:$C$312,$A6,Movimientos!$F$2:$F$312,8)</f>
        <v>1980</v>
      </c>
      <c r="J6" s="5">
        <f>SUMIFS(Movimientos!$E$2:$E$312,Movimientos!$C$2:$C$312,$A6,Movimientos!$F$2:$F$312,9)</f>
        <v>1980</v>
      </c>
      <c r="K6" s="5">
        <f>SUMIFS(Movimientos!$E$2:$E$312,Movimientos!$C$2:$C$312,$A6,Movimientos!$F$2:$F$312,10)</f>
        <v>1980</v>
      </c>
      <c r="L6" s="5">
        <f>SUMIFS(Movimientos!$E$2:$E$312,Movimientos!$C$2:$C$312,$A6,Movimientos!$F$2:$F$312,11)</f>
        <v>1980</v>
      </c>
      <c r="M6" s="5">
        <f>SUMIFS(Movimientos!$E$2:$E$312,Movimientos!$C$2:$C$312,$A6,Movimientos!$F$2:$F$312,12)</f>
        <v>3960</v>
      </c>
      <c r="N6" s="6">
        <f>SUM(B6:M6)</f>
        <v>27720</v>
      </c>
      <c r="O6" s="5">
        <f>AVERAGE(B6:M6)</f>
        <v>2310.0</v>
      </c>
      <c r="P6" s="7">
        <f>N6/N$8</f>
        <v>0.43854118925346275</v>
      </c>
      <c r="Q6" s="5">
        <f>SUMIF(Movimientos!$C$2:$C$312,$A6,Movimientos!$E$2:$E$312)</f>
        <v>27720</v>
      </c>
      <c r="R6" s="5">
        <f>VLOOKUP($A6,Categorías!$A$2:$C$19,3,FALSE)*12</f>
        <v>23760.0</v>
      </c>
      <c r="S6" s="8">
        <f>N6-R6</f>
        <v>3960.0</v>
      </c>
      <c r="T6" s="7">
        <f>IF(R6=0,0,N6/R6)</f>
        <v>1.1666666666666667</v>
      </c>
    </row>
    <row r="7" spans="1:20">
      <c r="A7" t="s">
        <v>6</v>
      </c>
      <c r="B7" s="5">
        <f>SUMIFS(Movimientos!$E$2:$E$312,Movimientos!$C$2:$C$312,$A7,Movimientos!$F$2:$F$312,1)</f>
        <v>193.62</v>
      </c>
      <c r="C7" s="5">
        <f>SUMIFS(Movimientos!$E$2:$E$312,Movimientos!$C$2:$C$312,$A7,Movimientos!$F$2:$F$312,2)</f>
        <v>278.96</v>
      </c>
      <c r="D7" s="5">
        <f>SUMIFS(Movimientos!$E$2:$E$312,Movimientos!$C$2:$C$312,$A7,Movimientos!$F$2:$F$312,3)</f>
        <v>171.3</v>
      </c>
      <c r="E7" s="5">
        <f>SUMIFS(Movimientos!$E$2:$E$312,Movimientos!$C$2:$C$312,$A7,Movimientos!$F$2:$F$312,4)</f>
        <v>0</v>
      </c>
      <c r="F7" s="5">
        <f>SUMIFS(Movimientos!$E$2:$E$312,Movimientos!$C$2:$C$312,$A7,Movimientos!$F$2:$F$312,5)</f>
        <v>0</v>
      </c>
      <c r="G7" s="5">
        <f>SUMIFS(Movimientos!$E$2:$E$312,Movimientos!$C$2:$C$312,$A7,Movimientos!$F$2:$F$312,6)</f>
        <v>0</v>
      </c>
      <c r="H7" s="5">
        <f>SUMIFS(Movimientos!$E$2:$E$312,Movimientos!$C$2:$C$312,$A7,Movimientos!$F$2:$F$312,7)</f>
        <v>0</v>
      </c>
      <c r="I7" s="5">
        <f>SUMIFS(Movimientos!$E$2:$E$312,Movimientos!$C$2:$C$312,$A7,Movimientos!$F$2:$F$312,8)</f>
        <v>0</v>
      </c>
      <c r="J7" s="5">
        <f>SUMIFS(Movimientos!$E$2:$E$312,Movimientos!$C$2:$C$312,$A7,Movimientos!$F$2:$F$312,9)</f>
        <v>0</v>
      </c>
      <c r="K7" s="5">
        <f>SUMIFS(Movimientos!$E$2:$E$312,Movimientos!$C$2:$C$312,$A7,Movimientos!$F$2:$F$312,10)</f>
        <v>165.87</v>
      </c>
      <c r="L7" s="5">
        <f>SUMIFS(Movimientos!$E$2:$E$312,Movimientos!$C$2:$C$312,$A7,Movimientos!$F$2:$F$312,11)</f>
        <v>0</v>
      </c>
      <c r="M7" s="5">
        <f>SUMIFS(Movimientos!$E$2:$E$312,Movimientos!$C$2:$C$312,$A7,Movimientos!$F$2:$F$312,12)</f>
        <v>379.82</v>
      </c>
      <c r="N7" s="6">
        <f>SUM(B7:M7)</f>
        <v>1189.57</v>
      </c>
      <c r="O7" s="5">
        <f>AVERAGE(B7:M7)</f>
        <v>99.13083333333333</v>
      </c>
      <c r="P7" s="7">
        <f>N7/N$8</f>
        <v>0.018819460407656623</v>
      </c>
      <c r="Q7" s="5">
        <f>SUMIF(Movimientos!$C$2:$C$312,$A7,Movimientos!$E$2:$E$312)</f>
        <v>1189.57</v>
      </c>
      <c r="R7" s="5">
        <f>VLOOKUP($A7,Categorías!$A$2:$C$19,3,FALSE)*12</f>
        <v>1800.0</v>
      </c>
      <c r="S7" s="8">
        <f>N7-R7</f>
        <v>-610.4300000000001</v>
      </c>
      <c r="T7" s="7">
        <f>IF(R7=0,0,N7/R7)</f>
        <v>0.6608722222222222</v>
      </c>
    </row>
    <row r="8" spans="1:20">
      <c r="A8" s="4" t="s">
        <v>89</v>
      </c>
      <c r="B8" s="9">
        <f>SUM(B5:B7)</f>
        <v>4623.62</v>
      </c>
      <c r="C8" s="9">
        <f>SUM(C5:C7)</f>
        <v>4708.96</v>
      </c>
      <c r="D8" s="9">
        <f>SUM(D5:D7)</f>
        <v>4601.3</v>
      </c>
      <c r="E8" s="9">
        <f>SUM(E5:E7)</f>
        <v>4430</v>
      </c>
      <c r="F8" s="9">
        <f>SUM(F5:F7)</f>
        <v>4430</v>
      </c>
      <c r="G8" s="9">
        <f>SUM(G5:G7)</f>
        <v>6880</v>
      </c>
      <c r="H8" s="9">
        <f>SUM(H5:H7)</f>
        <v>6410</v>
      </c>
      <c r="I8" s="9">
        <f>SUM(I5:I7)</f>
        <v>4430</v>
      </c>
      <c r="J8" s="9">
        <f>SUM(J5:J7)</f>
        <v>4430</v>
      </c>
      <c r="K8" s="9">
        <f>SUM(K5:K7)</f>
        <v>4595.87</v>
      </c>
      <c r="L8" s="9">
        <f>SUM(L5:L7)</f>
        <v>4430</v>
      </c>
      <c r="M8" s="9">
        <f>SUM(M5:M7)</f>
        <v>9239.82</v>
      </c>
      <c r="N8" s="10">
        <f>SUM(N5:N7)</f>
        <v>63209.57</v>
      </c>
      <c r="O8" s="9">
        <f>AVERAGE(B8:M8)</f>
        <v>5267.464166666667</v>
      </c>
      <c r="P8" s="11">
        <f>SUM(P5:P7)</f>
        <v>1.0</v>
      </c>
      <c r="Q8" s="9">
        <f>SUM(Q5:Q7)</f>
        <v>63209.57</v>
      </c>
      <c r="R8" s="9">
        <f>SUM(R5:R7)</f>
        <v>54960.0</v>
      </c>
      <c r="S8" s="12">
        <f>N8-R8</f>
        <v>8249.57</v>
      </c>
      <c r="T8" s="11">
        <f>IF(R8=0,0,N8/R8)</f>
        <v>1.15010134643377</v>
      </c>
    </row>
    <row r="10" spans="1:20">
      <c r="A10" s="4" t="s">
        <v>90</v>
      </c>
    </row>
    <row r="11" spans="1:20">
      <c r="A11" t="s">
        <v>7</v>
      </c>
      <c r="B11" s="5">
        <f>SUMIFS(Movimientos!$E$2:$E$312,Movimientos!$C$2:$C$312,$A11,Movimientos!$F$2:$F$312,1)</f>
        <v>780</v>
      </c>
      <c r="C11" s="5">
        <f>SUMIFS(Movimientos!$E$2:$E$312,Movimientos!$C$2:$C$312,$A11,Movimientos!$F$2:$F$312,2)</f>
        <v>780</v>
      </c>
      <c r="D11" s="5">
        <f>SUMIFS(Movimientos!$E$2:$E$312,Movimientos!$C$2:$C$312,$A11,Movimientos!$F$2:$F$312,3)</f>
        <v>780</v>
      </c>
      <c r="E11" s="5">
        <f>SUMIFS(Movimientos!$E$2:$E$312,Movimientos!$C$2:$C$312,$A11,Movimientos!$F$2:$F$312,4)</f>
        <v>780</v>
      </c>
      <c r="F11" s="5">
        <f>SUMIFS(Movimientos!$E$2:$E$312,Movimientos!$C$2:$C$312,$A11,Movimientos!$F$2:$F$312,5)</f>
        <v>780</v>
      </c>
      <c r="G11" s="5">
        <f>SUMIFS(Movimientos!$E$2:$E$312,Movimientos!$C$2:$C$312,$A11,Movimientos!$F$2:$F$312,6)</f>
        <v>780</v>
      </c>
      <c r="H11" s="5">
        <f>SUMIFS(Movimientos!$E$2:$E$312,Movimientos!$C$2:$C$312,$A11,Movimientos!$F$2:$F$312,7)</f>
        <v>780</v>
      </c>
      <c r="I11" s="5">
        <f>SUMIFS(Movimientos!$E$2:$E$312,Movimientos!$C$2:$C$312,$A11,Movimientos!$F$2:$F$312,8)</f>
        <v>780</v>
      </c>
      <c r="J11" s="5">
        <f>SUMIFS(Movimientos!$E$2:$E$312,Movimientos!$C$2:$C$312,$A11,Movimientos!$F$2:$F$312,9)</f>
        <v>780</v>
      </c>
      <c r="K11" s="5">
        <f>SUMIFS(Movimientos!$E$2:$E$312,Movimientos!$C$2:$C$312,$A11,Movimientos!$F$2:$F$312,10)</f>
        <v>780</v>
      </c>
      <c r="L11" s="5">
        <f>SUMIFS(Movimientos!$E$2:$E$312,Movimientos!$C$2:$C$312,$A11,Movimientos!$F$2:$F$312,11)</f>
        <v>780</v>
      </c>
      <c r="M11" s="5">
        <f>SUMIFS(Movimientos!$E$2:$E$312,Movimientos!$C$2:$C$312,$A11,Movimientos!$F$2:$F$312,12)</f>
        <v>780</v>
      </c>
      <c r="N11" s="6">
        <f>SUM(B11:M11)</f>
        <v>9360</v>
      </c>
      <c r="O11" s="5">
        <f>AVERAGE(B11:M11)</f>
        <v>780.0</v>
      </c>
      <c r="P11" s="7">
        <f>N11/N$26</f>
        <v>0.3564834280908941</v>
      </c>
      <c r="Q11" s="5">
        <f>SUMIF(Movimientos!$C$2:$C$312,$A11,Movimientos!$E$2:$E$312)</f>
        <v>9360</v>
      </c>
      <c r="R11" s="5">
        <f>VLOOKUP($A11,Categorías!$A$2:$C$19,3,FALSE)*12</f>
        <v>9360.0</v>
      </c>
      <c r="S11" s="8">
        <f>N11-R11</f>
        <v>0.0</v>
      </c>
      <c r="T11" s="7">
        <f>IF(R11=0,0,N11/R11)</f>
        <v>1.0</v>
      </c>
    </row>
    <row r="12" spans="1:20">
      <c r="A12" t="s">
        <v>9</v>
      </c>
      <c r="B12" s="5">
        <f>SUMIFS(Movimientos!$E$2:$E$312,Movimientos!$C$2:$C$312,$A12,Movimientos!$F$2:$F$312,1)</f>
        <v>65</v>
      </c>
      <c r="C12" s="5">
        <f>SUMIFS(Movimientos!$E$2:$E$312,Movimientos!$C$2:$C$312,$A12,Movimientos!$F$2:$F$312,2)</f>
        <v>65</v>
      </c>
      <c r="D12" s="5">
        <f>SUMIFS(Movimientos!$E$2:$E$312,Movimientos!$C$2:$C$312,$A12,Movimientos!$F$2:$F$312,3)</f>
        <v>65</v>
      </c>
      <c r="E12" s="5">
        <f>SUMIFS(Movimientos!$E$2:$E$312,Movimientos!$C$2:$C$312,$A12,Movimientos!$F$2:$F$312,4)</f>
        <v>65</v>
      </c>
      <c r="F12" s="5">
        <f>SUMIFS(Movimientos!$E$2:$E$312,Movimientos!$C$2:$C$312,$A12,Movimientos!$F$2:$F$312,5)</f>
        <v>65</v>
      </c>
      <c r="G12" s="5">
        <f>SUMIFS(Movimientos!$E$2:$E$312,Movimientos!$C$2:$C$312,$A12,Movimientos!$F$2:$F$312,6)</f>
        <v>65</v>
      </c>
      <c r="H12" s="5">
        <f>SUMIFS(Movimientos!$E$2:$E$312,Movimientos!$C$2:$C$312,$A12,Movimientos!$F$2:$F$312,7)</f>
        <v>65</v>
      </c>
      <c r="I12" s="5">
        <f>SUMIFS(Movimientos!$E$2:$E$312,Movimientos!$C$2:$C$312,$A12,Movimientos!$F$2:$F$312,8)</f>
        <v>65</v>
      </c>
      <c r="J12" s="5">
        <f>SUMIFS(Movimientos!$E$2:$E$312,Movimientos!$C$2:$C$312,$A12,Movimientos!$F$2:$F$312,9)</f>
        <v>65</v>
      </c>
      <c r="K12" s="5">
        <f>SUMIFS(Movimientos!$E$2:$E$312,Movimientos!$C$2:$C$312,$A12,Movimientos!$F$2:$F$312,10)</f>
        <v>65</v>
      </c>
      <c r="L12" s="5">
        <f>SUMIFS(Movimientos!$E$2:$E$312,Movimientos!$C$2:$C$312,$A12,Movimientos!$F$2:$F$312,11)</f>
        <v>65</v>
      </c>
      <c r="M12" s="5">
        <f>SUMIFS(Movimientos!$E$2:$E$312,Movimientos!$C$2:$C$312,$A12,Movimientos!$F$2:$F$312,12)</f>
        <v>65</v>
      </c>
      <c r="N12" s="6">
        <f>SUM(B12:M12)</f>
        <v>780</v>
      </c>
      <c r="O12" s="5">
        <f>AVERAGE(B12:M12)</f>
        <v>65.0</v>
      </c>
      <c r="P12" s="7">
        <f>N12/N$26</f>
        <v>0.029706952340907845</v>
      </c>
      <c r="Q12" s="5">
        <f>SUMIF(Movimientos!$C$2:$C$312,$A12,Movimientos!$E$2:$E$312)</f>
        <v>780</v>
      </c>
      <c r="R12" s="5">
        <f>VLOOKUP($A12,Categorías!$A$2:$C$19,3,FALSE)*12</f>
        <v>780.0</v>
      </c>
      <c r="S12" s="8">
        <f>N12-R12</f>
        <v>0.0</v>
      </c>
      <c r="T12" s="7">
        <f>IF(R12=0,0,N12/R12)</f>
        <v>1.0</v>
      </c>
    </row>
    <row r="13" spans="1:20">
      <c r="A13" t="s">
        <v>10</v>
      </c>
      <c r="B13" s="5">
        <f>SUMIFS(Movimientos!$E$2:$E$312,Movimientos!$C$2:$C$312,$A13,Movimientos!$F$2:$F$312,1)</f>
        <v>60.15</v>
      </c>
      <c r="C13" s="5">
        <f>SUMIFS(Movimientos!$E$2:$E$312,Movimientos!$C$2:$C$312,$A13,Movimientos!$F$2:$F$312,2)</f>
        <v>73.44</v>
      </c>
      <c r="D13" s="5">
        <f>SUMIFS(Movimientos!$E$2:$E$312,Movimientos!$C$2:$C$312,$A13,Movimientos!$F$2:$F$312,3)</f>
        <v>53.77</v>
      </c>
      <c r="E13" s="5">
        <f>SUMIFS(Movimientos!$E$2:$E$312,Movimientos!$C$2:$C$312,$A13,Movimientos!$F$2:$F$312,4)</f>
        <v>71.18</v>
      </c>
      <c r="F13" s="5">
        <f>SUMIFS(Movimientos!$E$2:$E$312,Movimientos!$C$2:$C$312,$A13,Movimientos!$F$2:$F$312,5)</f>
        <v>86.48</v>
      </c>
      <c r="G13" s="5">
        <f>SUMIFS(Movimientos!$E$2:$E$312,Movimientos!$C$2:$C$312,$A13,Movimientos!$F$2:$F$312,6)</f>
        <v>99.0</v>
      </c>
      <c r="H13" s="5">
        <f>SUMIFS(Movimientos!$E$2:$E$312,Movimientos!$C$2:$C$312,$A13,Movimientos!$F$2:$F$312,7)</f>
        <v>76.22</v>
      </c>
      <c r="I13" s="5">
        <f>SUMIFS(Movimientos!$E$2:$E$312,Movimientos!$C$2:$C$312,$A13,Movimientos!$F$2:$F$312,8)</f>
        <v>77.37</v>
      </c>
      <c r="J13" s="5">
        <f>SUMIFS(Movimientos!$E$2:$E$312,Movimientos!$C$2:$C$312,$A13,Movimientos!$F$2:$F$312,9)</f>
        <v>56.48</v>
      </c>
      <c r="K13" s="5">
        <f>SUMIFS(Movimientos!$E$2:$E$312,Movimientos!$C$2:$C$312,$A13,Movimientos!$F$2:$F$312,10)</f>
        <v>86.71</v>
      </c>
      <c r="L13" s="5">
        <f>SUMIFS(Movimientos!$E$2:$E$312,Movimientos!$C$2:$C$312,$A13,Movimientos!$F$2:$F$312,11)</f>
        <v>55.66</v>
      </c>
      <c r="M13" s="5">
        <f>SUMIFS(Movimientos!$E$2:$E$312,Movimientos!$C$2:$C$312,$A13,Movimientos!$F$2:$F$312,12)</f>
        <v>58.02</v>
      </c>
      <c r="N13" s="6">
        <f>SUM(B13:M13)</f>
        <v>854.48</v>
      </c>
      <c r="O13" s="5">
        <f>AVERAGE(B13:M13)</f>
        <v>71.20666666666666</v>
      </c>
      <c r="P13" s="7">
        <f>N13/N$26</f>
        <v>0.0325435854311012</v>
      </c>
      <c r="Q13" s="5">
        <f>SUMIF(Movimientos!$C$2:$C$312,$A13,Movimientos!$E$2:$E$312)</f>
        <v>854.48</v>
      </c>
      <c r="R13" s="5">
        <f>VLOOKUP($A13,Categorías!$A$2:$C$19,3,FALSE)*12</f>
        <v>864.0</v>
      </c>
      <c r="S13" s="8">
        <f>N13-R13</f>
        <v>-9.519999999999982</v>
      </c>
      <c r="T13" s="7">
        <f>IF(R13=0,0,N13/R13)</f>
        <v>0.9889814814814815</v>
      </c>
    </row>
    <row r="14" spans="1:20">
      <c r="A14" t="s">
        <v>11</v>
      </c>
      <c r="B14" s="5">
        <f>SUMIFS(Movimientos!$E$2:$E$312,Movimientos!$C$2:$C$312,$A14,Movimientos!$F$2:$F$312,1)</f>
        <v>60.51</v>
      </c>
      <c r="C14" s="5">
        <f>SUMIFS(Movimientos!$E$2:$E$312,Movimientos!$C$2:$C$312,$A14,Movimientos!$F$2:$F$312,2)</f>
        <v>0</v>
      </c>
      <c r="D14" s="5">
        <f>SUMIFS(Movimientos!$E$2:$E$312,Movimientos!$C$2:$C$312,$A14,Movimientos!$F$2:$F$312,3)</f>
        <v>54.32</v>
      </c>
      <c r="E14" s="5">
        <f>SUMIFS(Movimientos!$E$2:$E$312,Movimientos!$C$2:$C$312,$A14,Movimientos!$F$2:$F$312,4)</f>
        <v>0</v>
      </c>
      <c r="F14" s="5">
        <f>SUMIFS(Movimientos!$E$2:$E$312,Movimientos!$C$2:$C$312,$A14,Movimientos!$F$2:$F$312,5)</f>
        <v>51.47</v>
      </c>
      <c r="G14" s="5">
        <f>SUMIFS(Movimientos!$E$2:$E$312,Movimientos!$C$2:$C$312,$A14,Movimientos!$F$2:$F$312,6)</f>
        <v>0</v>
      </c>
      <c r="H14" s="5">
        <f>SUMIFS(Movimientos!$E$2:$E$312,Movimientos!$C$2:$C$312,$A14,Movimientos!$F$2:$F$312,7)</f>
        <v>53.41</v>
      </c>
      <c r="I14" s="5">
        <f>SUMIFS(Movimientos!$E$2:$E$312,Movimientos!$C$2:$C$312,$A14,Movimientos!$F$2:$F$312,8)</f>
        <v>0</v>
      </c>
      <c r="J14" s="5">
        <f>SUMIFS(Movimientos!$E$2:$E$312,Movimientos!$C$2:$C$312,$A14,Movimientos!$F$2:$F$312,9)</f>
        <v>40.47</v>
      </c>
      <c r="K14" s="5">
        <f>SUMIFS(Movimientos!$E$2:$E$312,Movimientos!$C$2:$C$312,$A14,Movimientos!$F$2:$F$312,10)</f>
        <v>0</v>
      </c>
      <c r="L14" s="5">
        <f>SUMIFS(Movimientos!$E$2:$E$312,Movimientos!$C$2:$C$312,$A14,Movimientos!$F$2:$F$312,11)</f>
        <v>49.07</v>
      </c>
      <c r="M14" s="5">
        <f>SUMIFS(Movimientos!$E$2:$E$312,Movimientos!$C$2:$C$312,$A14,Movimientos!$F$2:$F$312,12)</f>
        <v>0</v>
      </c>
      <c r="N14" s="6">
        <f>SUM(B14:M14)</f>
        <v>309.25</v>
      </c>
      <c r="O14" s="5">
        <f>AVERAGE(B14:M14)</f>
        <v>25.770833333333332</v>
      </c>
      <c r="P14" s="7">
        <f>N14/N$26</f>
        <v>0.011778044886443271</v>
      </c>
      <c r="Q14" s="5">
        <f>SUMIF(Movimientos!$C$2:$C$312,$A14,Movimientos!$E$2:$E$312)</f>
        <v>309.25</v>
      </c>
      <c r="R14" s="5">
        <f>VLOOKUP($A14,Categorías!$A$2:$C$19,3,FALSE)*12</f>
        <v>336.0</v>
      </c>
      <c r="S14" s="8">
        <f>N14-R14</f>
        <v>-26.75</v>
      </c>
      <c r="T14" s="7">
        <f>IF(R14=0,0,N14/R14)</f>
        <v>0.9203869047619048</v>
      </c>
    </row>
    <row r="15" spans="1:20">
      <c r="A15" t="s">
        <v>12</v>
      </c>
      <c r="B15" s="5">
        <f>SUMIFS(Movimientos!$E$2:$E$312,Movimientos!$C$2:$C$312,$A15,Movimientos!$F$2:$F$312,1)</f>
        <v>93.79</v>
      </c>
      <c r="C15" s="5">
        <f>SUMIFS(Movimientos!$E$2:$E$312,Movimientos!$C$2:$C$312,$A15,Movimientos!$F$2:$F$312,2)</f>
        <v>73.65</v>
      </c>
      <c r="D15" s="5">
        <f>SUMIFS(Movimientos!$E$2:$E$312,Movimientos!$C$2:$C$312,$A15,Movimientos!$F$2:$F$312,3)</f>
        <v>82.15</v>
      </c>
      <c r="E15" s="5">
        <f>SUMIFS(Movimientos!$E$2:$E$312,Movimientos!$C$2:$C$312,$A15,Movimientos!$F$2:$F$312,4)</f>
        <v>33.15</v>
      </c>
      <c r="F15" s="5">
        <f>SUMIFS(Movimientos!$E$2:$E$312,Movimientos!$C$2:$C$312,$A15,Movimientos!$F$2:$F$312,5)</f>
        <v>21.91</v>
      </c>
      <c r="G15" s="5">
        <f>SUMIFS(Movimientos!$E$2:$E$312,Movimientos!$C$2:$C$312,$A15,Movimientos!$F$2:$F$312,6)</f>
        <v>34.73</v>
      </c>
      <c r="H15" s="5">
        <f>SUMIFS(Movimientos!$E$2:$E$312,Movimientos!$C$2:$C$312,$A15,Movimientos!$F$2:$F$312,7)</f>
        <v>31.06</v>
      </c>
      <c r="I15" s="5">
        <f>SUMIFS(Movimientos!$E$2:$E$312,Movimientos!$C$2:$C$312,$A15,Movimientos!$F$2:$F$312,8)</f>
        <v>33.65</v>
      </c>
      <c r="J15" s="5">
        <f>SUMIFS(Movimientos!$E$2:$E$312,Movimientos!$C$2:$C$312,$A15,Movimientos!$F$2:$F$312,9)</f>
        <v>24.59</v>
      </c>
      <c r="K15" s="5">
        <f>SUMIFS(Movimientos!$E$2:$E$312,Movimientos!$C$2:$C$312,$A15,Movimientos!$F$2:$F$312,10)</f>
        <v>19.61</v>
      </c>
      <c r="L15" s="5">
        <f>SUMIFS(Movimientos!$E$2:$E$312,Movimientos!$C$2:$C$312,$A15,Movimientos!$F$2:$F$312,11)</f>
        <v>98.75</v>
      </c>
      <c r="M15" s="5">
        <f>SUMIFS(Movimientos!$E$2:$E$312,Movimientos!$C$2:$C$312,$A15,Movimientos!$F$2:$F$312,12)</f>
        <v>107.73</v>
      </c>
      <c r="N15" s="6">
        <f>SUM(B15:M15)</f>
        <v>654.77</v>
      </c>
      <c r="O15" s="5">
        <f>AVERAGE(B15:M15)</f>
        <v>54.564166666666665</v>
      </c>
      <c r="P15" s="7">
        <f>N15/N$26</f>
        <v>0.024937463056738756</v>
      </c>
      <c r="Q15" s="5">
        <f>SUMIF(Movimientos!$C$2:$C$312,$A15,Movimientos!$E$2:$E$312)</f>
        <v>654.77</v>
      </c>
      <c r="R15" s="5">
        <f>VLOOKUP($A15,Categorías!$A$2:$C$19,3,FALSE)*12</f>
        <v>540.0</v>
      </c>
      <c r="S15" s="8">
        <f>N15-R15</f>
        <v>114.76999999999998</v>
      </c>
      <c r="T15" s="7">
        <f>IF(R15=0,0,N15/R15)</f>
        <v>1.212537037037037</v>
      </c>
    </row>
    <row r="16" spans="1:20">
      <c r="A16" t="s">
        <v>13</v>
      </c>
      <c r="B16" s="5">
        <f>SUMIFS(Movimientos!$E$2:$E$312,Movimientos!$C$2:$C$312,$A16,Movimientos!$F$2:$F$312,1)</f>
        <v>59.9</v>
      </c>
      <c r="C16" s="5">
        <f>SUMIFS(Movimientos!$E$2:$E$312,Movimientos!$C$2:$C$312,$A16,Movimientos!$F$2:$F$312,2)</f>
        <v>59.9</v>
      </c>
      <c r="D16" s="5">
        <f>SUMIFS(Movimientos!$E$2:$E$312,Movimientos!$C$2:$C$312,$A16,Movimientos!$F$2:$F$312,3)</f>
        <v>59.9</v>
      </c>
      <c r="E16" s="5">
        <f>SUMIFS(Movimientos!$E$2:$E$312,Movimientos!$C$2:$C$312,$A16,Movimientos!$F$2:$F$312,4)</f>
        <v>59.9</v>
      </c>
      <c r="F16" s="5">
        <f>SUMIFS(Movimientos!$E$2:$E$312,Movimientos!$C$2:$C$312,$A16,Movimientos!$F$2:$F$312,5)</f>
        <v>59.9</v>
      </c>
      <c r="G16" s="5">
        <f>SUMIFS(Movimientos!$E$2:$E$312,Movimientos!$C$2:$C$312,$A16,Movimientos!$F$2:$F$312,6)</f>
        <v>59.9</v>
      </c>
      <c r="H16" s="5">
        <f>SUMIFS(Movimientos!$E$2:$E$312,Movimientos!$C$2:$C$312,$A16,Movimientos!$F$2:$F$312,7)</f>
        <v>59.9</v>
      </c>
      <c r="I16" s="5">
        <f>SUMIFS(Movimientos!$E$2:$E$312,Movimientos!$C$2:$C$312,$A16,Movimientos!$F$2:$F$312,8)</f>
        <v>59.9</v>
      </c>
      <c r="J16" s="5">
        <f>SUMIFS(Movimientos!$E$2:$E$312,Movimientos!$C$2:$C$312,$A16,Movimientos!$F$2:$F$312,9)</f>
        <v>59.9</v>
      </c>
      <c r="K16" s="5">
        <f>SUMIFS(Movimientos!$E$2:$E$312,Movimientos!$C$2:$C$312,$A16,Movimientos!$F$2:$F$312,10)</f>
        <v>59.9</v>
      </c>
      <c r="L16" s="5">
        <f>SUMIFS(Movimientos!$E$2:$E$312,Movimientos!$C$2:$C$312,$A16,Movimientos!$F$2:$F$312,11)</f>
        <v>59.9</v>
      </c>
      <c r="M16" s="5">
        <f>SUMIFS(Movimientos!$E$2:$E$312,Movimientos!$C$2:$C$312,$A16,Movimientos!$F$2:$F$312,12)</f>
        <v>59.9</v>
      </c>
      <c r="N16" s="6">
        <f>SUM(B16:M16)</f>
        <v>718.8</v>
      </c>
      <c r="O16" s="5">
        <f>AVERAGE(B16:M16)</f>
        <v>59.9</v>
      </c>
      <c r="P16" s="7">
        <f>N16/N$26</f>
        <v>0.027376099157236614</v>
      </c>
      <c r="Q16" s="5">
        <f>SUMIF(Movimientos!$C$2:$C$312,$A16,Movimientos!$E$2:$E$312)</f>
        <v>718.8</v>
      </c>
      <c r="R16" s="5">
        <f>VLOOKUP($A16,Categorías!$A$2:$C$19,3,FALSE)*12</f>
        <v>718.8</v>
      </c>
      <c r="S16" s="8">
        <f>N16-R16</f>
        <v>0.0</v>
      </c>
      <c r="T16" s="7">
        <f>IF(R16=0,0,N16/R16)</f>
        <v>1.0</v>
      </c>
    </row>
    <row r="17" spans="1:20">
      <c r="A17" t="s">
        <v>14</v>
      </c>
      <c r="B17" s="5">
        <f>SUMIFS(Movimientos!$E$2:$E$312,Movimientos!$C$2:$C$312,$A17,Movimientos!$F$2:$F$312,1)</f>
        <v>415.06</v>
      </c>
      <c r="C17" s="5">
        <f>SUMIFS(Movimientos!$E$2:$E$312,Movimientos!$C$2:$C$312,$A17,Movimientos!$F$2:$F$312,2)</f>
        <v>290.33</v>
      </c>
      <c r="D17" s="5">
        <f>SUMIFS(Movimientos!$E$2:$E$312,Movimientos!$C$2:$C$312,$A17,Movimientos!$F$2:$F$312,3)</f>
        <v>559.03</v>
      </c>
      <c r="E17" s="5">
        <f>SUMIFS(Movimientos!$E$2:$E$312,Movimientos!$C$2:$C$312,$A17,Movimientos!$F$2:$F$312,4)</f>
        <v>516.1</v>
      </c>
      <c r="F17" s="5">
        <f>SUMIFS(Movimientos!$E$2:$E$312,Movimientos!$C$2:$C$312,$A17,Movimientos!$F$2:$F$312,5)</f>
        <v>536.39</v>
      </c>
      <c r="G17" s="5">
        <f>SUMIFS(Movimientos!$E$2:$E$312,Movimientos!$C$2:$C$312,$A17,Movimientos!$F$2:$F$312,6)</f>
        <v>345.82</v>
      </c>
      <c r="H17" s="5">
        <f>SUMIFS(Movimientos!$E$2:$E$312,Movimientos!$C$2:$C$312,$A17,Movimientos!$F$2:$F$312,7)</f>
        <v>531.82</v>
      </c>
      <c r="I17" s="5">
        <f>SUMIFS(Movimientos!$E$2:$E$312,Movimientos!$C$2:$C$312,$A17,Movimientos!$F$2:$F$312,8)</f>
        <v>372.6</v>
      </c>
      <c r="J17" s="5">
        <f>SUMIFS(Movimientos!$E$2:$E$312,Movimientos!$C$2:$C$312,$A17,Movimientos!$F$2:$F$312,9)</f>
        <v>432.01</v>
      </c>
      <c r="K17" s="5">
        <f>SUMIFS(Movimientos!$E$2:$E$312,Movimientos!$C$2:$C$312,$A17,Movimientos!$F$2:$F$312,10)</f>
        <v>379.44</v>
      </c>
      <c r="L17" s="5">
        <f>SUMIFS(Movimientos!$E$2:$E$312,Movimientos!$C$2:$C$312,$A17,Movimientos!$F$2:$F$312,11)</f>
        <v>355.86</v>
      </c>
      <c r="M17" s="5">
        <f>SUMIFS(Movimientos!$E$2:$E$312,Movimientos!$C$2:$C$312,$A17,Movimientos!$F$2:$F$312,12)</f>
        <v>537.42</v>
      </c>
      <c r="N17" s="6">
        <f>SUM(B17:M17)</f>
        <v>5271.88</v>
      </c>
      <c r="O17" s="5">
        <f>AVERAGE(B17:M17)</f>
        <v>439.3233333333333</v>
      </c>
      <c r="P17" s="7">
        <f>N17/N$26</f>
        <v>0.2007839588551093</v>
      </c>
      <c r="Q17" s="5">
        <f>SUMIF(Movimientos!$C$2:$C$312,$A17,Movimientos!$E$2:$E$312)</f>
        <v>5271.88</v>
      </c>
      <c r="R17" s="5">
        <f>VLOOKUP($A17,Categorías!$A$2:$C$19,3,FALSE)*12</f>
        <v>6240.0</v>
      </c>
      <c r="S17" s="8">
        <f>N17-R17</f>
        <v>-968.1199999999999</v>
      </c>
      <c r="T17" s="7">
        <f>IF(R17=0,0,N17/R17)</f>
        <v>0.8448525641025642</v>
      </c>
    </row>
    <row r="18" spans="1:20">
      <c r="A18" t="s">
        <v>15</v>
      </c>
      <c r="B18" s="5">
        <f>SUMIFS(Movimientos!$E$2:$E$312,Movimientos!$C$2:$C$312,$A18,Movimientos!$F$2:$F$312,1)</f>
        <v>72.15</v>
      </c>
      <c r="C18" s="5">
        <f>SUMIFS(Movimientos!$E$2:$E$312,Movimientos!$C$2:$C$312,$A18,Movimientos!$F$2:$F$312,2)</f>
        <v>66.33</v>
      </c>
      <c r="D18" s="5">
        <f>SUMIFS(Movimientos!$E$2:$E$312,Movimientos!$C$2:$C$312,$A18,Movimientos!$F$2:$F$312,3)</f>
        <v>156.27</v>
      </c>
      <c r="E18" s="5">
        <f>SUMIFS(Movimientos!$E$2:$E$312,Movimientos!$C$2:$C$312,$A18,Movimientos!$F$2:$F$312,4)</f>
        <v>122.95</v>
      </c>
      <c r="F18" s="5">
        <f>SUMIFS(Movimientos!$E$2:$E$312,Movimientos!$C$2:$C$312,$A18,Movimientos!$F$2:$F$312,5)</f>
        <v>122.41</v>
      </c>
      <c r="G18" s="5">
        <f>SUMIFS(Movimientos!$E$2:$E$312,Movimientos!$C$2:$C$312,$A18,Movimientos!$F$2:$F$312,6)</f>
        <v>63.59</v>
      </c>
      <c r="H18" s="5">
        <f>SUMIFS(Movimientos!$E$2:$E$312,Movimientos!$C$2:$C$312,$A18,Movimientos!$F$2:$F$312,7)</f>
        <v>187.92</v>
      </c>
      <c r="I18" s="5">
        <f>SUMIFS(Movimientos!$E$2:$E$312,Movimientos!$C$2:$C$312,$A18,Movimientos!$F$2:$F$312,8)</f>
        <v>48.84</v>
      </c>
      <c r="J18" s="5">
        <f>SUMIFS(Movimientos!$E$2:$E$312,Movimientos!$C$2:$C$312,$A18,Movimientos!$F$2:$F$312,9)</f>
        <v>124.77</v>
      </c>
      <c r="K18" s="5">
        <f>SUMIFS(Movimientos!$E$2:$E$312,Movimientos!$C$2:$C$312,$A18,Movimientos!$F$2:$F$312,10)</f>
        <v>112.98</v>
      </c>
      <c r="L18" s="5">
        <f>SUMIFS(Movimientos!$E$2:$E$312,Movimientos!$C$2:$C$312,$A18,Movimientos!$F$2:$F$312,11)</f>
        <v>148.04</v>
      </c>
      <c r="M18" s="5">
        <f>SUMIFS(Movimientos!$E$2:$E$312,Movimientos!$C$2:$C$312,$A18,Movimientos!$F$2:$F$312,12)</f>
        <v>62.9</v>
      </c>
      <c r="N18" s="6">
        <f>SUM(B18:M18)</f>
        <v>1289.15</v>
      </c>
      <c r="O18" s="5">
        <f>AVERAGE(B18:M18)</f>
        <v>107.42916666666667</v>
      </c>
      <c r="P18" s="7">
        <f>N18/N$26</f>
        <v>0.04909835591061712</v>
      </c>
      <c r="Q18" s="5">
        <f>SUMIF(Movimientos!$C$2:$C$312,$A18,Movimientos!$E$2:$E$312)</f>
        <v>1289.15</v>
      </c>
      <c r="R18" s="5">
        <f>VLOOKUP($A18,Categorías!$A$2:$C$19,3,FALSE)*12</f>
        <v>1680.0</v>
      </c>
      <c r="S18" s="8">
        <f>N18-R18</f>
        <v>-390.8499999999999</v>
      </c>
      <c r="T18" s="7">
        <f>IF(R18=0,0,N18/R18)</f>
        <v>0.7673511904761905</v>
      </c>
    </row>
    <row r="19" spans="1:20">
      <c r="A19" t="s">
        <v>16</v>
      </c>
      <c r="B19" s="5">
        <f>SUMIFS(Movimientos!$E$2:$E$312,Movimientos!$C$2:$C$312,$A19,Movimientos!$F$2:$F$312,1)</f>
        <v>35</v>
      </c>
      <c r="C19" s="5">
        <f>SUMIFS(Movimientos!$E$2:$E$312,Movimientos!$C$2:$C$312,$A19,Movimientos!$F$2:$F$312,2)</f>
        <v>35</v>
      </c>
      <c r="D19" s="5">
        <f>SUMIFS(Movimientos!$E$2:$E$312,Movimientos!$C$2:$C$312,$A19,Movimientos!$F$2:$F$312,3)</f>
        <v>455</v>
      </c>
      <c r="E19" s="5">
        <f>SUMIFS(Movimientos!$E$2:$E$312,Movimientos!$C$2:$C$312,$A19,Movimientos!$F$2:$F$312,4)</f>
        <v>35</v>
      </c>
      <c r="F19" s="5">
        <f>SUMIFS(Movimientos!$E$2:$E$312,Movimientos!$C$2:$C$312,$A19,Movimientos!$F$2:$F$312,5)</f>
        <v>35</v>
      </c>
      <c r="G19" s="5">
        <f>SUMIFS(Movimientos!$E$2:$E$312,Movimientos!$C$2:$C$312,$A19,Movimientos!$F$2:$F$312,6)</f>
        <v>35</v>
      </c>
      <c r="H19" s="5">
        <f>SUMIFS(Movimientos!$E$2:$E$312,Movimientos!$C$2:$C$312,$A19,Movimientos!$F$2:$F$312,7)</f>
        <v>35</v>
      </c>
      <c r="I19" s="5">
        <f>SUMIFS(Movimientos!$E$2:$E$312,Movimientos!$C$2:$C$312,$A19,Movimientos!$F$2:$F$312,8)</f>
        <v>35</v>
      </c>
      <c r="J19" s="5">
        <f>SUMIFS(Movimientos!$E$2:$E$312,Movimientos!$C$2:$C$312,$A19,Movimientos!$F$2:$F$312,9)</f>
        <v>35</v>
      </c>
      <c r="K19" s="5">
        <f>SUMIFS(Movimientos!$E$2:$E$312,Movimientos!$C$2:$C$312,$A19,Movimientos!$F$2:$F$312,10)</f>
        <v>35</v>
      </c>
      <c r="L19" s="5">
        <f>SUMIFS(Movimientos!$E$2:$E$312,Movimientos!$C$2:$C$312,$A19,Movimientos!$F$2:$F$312,11)</f>
        <v>35</v>
      </c>
      <c r="M19" s="5">
        <f>SUMIFS(Movimientos!$E$2:$E$312,Movimientos!$C$2:$C$312,$A19,Movimientos!$F$2:$F$312,12)</f>
        <v>35</v>
      </c>
      <c r="N19" s="6">
        <f>SUM(B19:M19)</f>
        <v>840</v>
      </c>
      <c r="O19" s="5">
        <f>AVERAGE(B19:M19)</f>
        <v>70.0</v>
      </c>
      <c r="P19" s="7">
        <f>N19/N$26</f>
        <v>0.03199210252097768</v>
      </c>
      <c r="Q19" s="5">
        <f>SUMIF(Movimientos!$C$2:$C$312,$A19,Movimientos!$E$2:$E$312)</f>
        <v>840</v>
      </c>
      <c r="R19" s="5">
        <f>VLOOKUP($A19,Categorías!$A$2:$C$19,3,FALSE)*12</f>
        <v>1020.0</v>
      </c>
      <c r="S19" s="8">
        <f>N19-R19</f>
        <v>-180.0</v>
      </c>
      <c r="T19" s="7">
        <f>IF(R19=0,0,N19/R19)</f>
        <v>0.8235294117647058</v>
      </c>
    </row>
    <row r="20" spans="1:20">
      <c r="A20" t="s">
        <v>17</v>
      </c>
      <c r="B20" s="5">
        <f>SUMIFS(Movimientos!$E$2:$E$312,Movimientos!$C$2:$C$312,$A20,Movimientos!$F$2:$F$312,1)</f>
        <v>132.12</v>
      </c>
      <c r="C20" s="5">
        <f>SUMIFS(Movimientos!$E$2:$E$312,Movimientos!$C$2:$C$312,$A20,Movimientos!$F$2:$F$312,2)</f>
        <v>178.57</v>
      </c>
      <c r="D20" s="5">
        <f>SUMIFS(Movimientos!$E$2:$E$312,Movimientos!$C$2:$C$312,$A20,Movimientos!$F$2:$F$312,3)</f>
        <v>174.48</v>
      </c>
      <c r="E20" s="5">
        <f>SUMIFS(Movimientos!$E$2:$E$312,Movimientos!$C$2:$C$312,$A20,Movimientos!$F$2:$F$312,4)</f>
        <v>127.97</v>
      </c>
      <c r="F20" s="5">
        <f>SUMIFS(Movimientos!$E$2:$E$312,Movimientos!$C$2:$C$312,$A20,Movimientos!$F$2:$F$312,5)</f>
        <v>115.56</v>
      </c>
      <c r="G20" s="5">
        <f>SUMIFS(Movimientos!$E$2:$E$312,Movimientos!$C$2:$C$312,$A20,Movimientos!$F$2:$F$312,6)</f>
        <v>86.68</v>
      </c>
      <c r="H20" s="5">
        <f>SUMIFS(Movimientos!$E$2:$E$312,Movimientos!$C$2:$C$312,$A20,Movimientos!$F$2:$F$312,7)</f>
        <v>188.08</v>
      </c>
      <c r="I20" s="5">
        <f>SUMIFS(Movimientos!$E$2:$E$312,Movimientos!$C$2:$C$312,$A20,Movimientos!$F$2:$F$312,8)</f>
        <v>174.99</v>
      </c>
      <c r="J20" s="5">
        <f>SUMIFS(Movimientos!$E$2:$E$312,Movimientos!$C$2:$C$312,$A20,Movimientos!$F$2:$F$312,9)</f>
        <v>115.25</v>
      </c>
      <c r="K20" s="5">
        <f>SUMIFS(Movimientos!$E$2:$E$312,Movimientos!$C$2:$C$312,$A20,Movimientos!$F$2:$F$312,10)</f>
        <v>184.53</v>
      </c>
      <c r="L20" s="5">
        <f>SUMIFS(Movimientos!$E$2:$E$312,Movimientos!$C$2:$C$312,$A20,Movimientos!$F$2:$F$312,11)</f>
        <v>44.03</v>
      </c>
      <c r="M20" s="5">
        <f>SUMIFS(Movimientos!$E$2:$E$312,Movimientos!$C$2:$C$312,$A20,Movimientos!$F$2:$F$312,12)</f>
        <v>49.82</v>
      </c>
      <c r="N20" s="6">
        <f>SUM(B20:M20)</f>
        <v>1572.08</v>
      </c>
      <c r="O20" s="5">
        <f>AVERAGE(B20:M20)</f>
        <v>131.00666666666666</v>
      </c>
      <c r="P20" s="7">
        <f>N20/N$26</f>
        <v>0.05987398158473641</v>
      </c>
      <c r="Q20" s="5">
        <f>SUMIF(Movimientos!$C$2:$C$312,$A20,Movimientos!$E$2:$E$312)</f>
        <v>1572.08</v>
      </c>
      <c r="R20" s="5">
        <f>VLOOKUP($A20,Categorías!$A$2:$C$19,3,FALSE)*12</f>
        <v>2160.0</v>
      </c>
      <c r="S20" s="8">
        <f>N20-R20</f>
        <v>-587.9200000000001</v>
      </c>
      <c r="T20" s="7">
        <f>IF(R20=0,0,N20/R20)</f>
        <v>0.7278148148148148</v>
      </c>
    </row>
    <row r="21" spans="1:20">
      <c r="A21" t="s">
        <v>18</v>
      </c>
      <c r="B21" s="5">
        <f>SUMIFS(Movimientos!$E$2:$E$312,Movimientos!$C$2:$C$312,$A21,Movimientos!$F$2:$F$312,1)</f>
        <v>203.44</v>
      </c>
      <c r="C21" s="5">
        <f>SUMIFS(Movimientos!$E$2:$E$312,Movimientos!$C$2:$C$312,$A21,Movimientos!$F$2:$F$312,2)</f>
        <v>41.66</v>
      </c>
      <c r="D21" s="5">
        <f>SUMIFS(Movimientos!$E$2:$E$312,Movimientos!$C$2:$C$312,$A21,Movimientos!$F$2:$F$312,3)</f>
        <v>55.09</v>
      </c>
      <c r="E21" s="5">
        <f>SUMIFS(Movimientos!$E$2:$E$312,Movimientos!$C$2:$C$312,$A21,Movimientos!$F$2:$F$312,4)</f>
        <v>201.08</v>
      </c>
      <c r="F21" s="5">
        <f>SUMIFS(Movimientos!$E$2:$E$312,Movimientos!$C$2:$C$312,$A21,Movimientos!$F$2:$F$312,5)</f>
        <v>198.09</v>
      </c>
      <c r="G21" s="5">
        <f>SUMIFS(Movimientos!$E$2:$E$312,Movimientos!$C$2:$C$312,$A21,Movimientos!$F$2:$F$312,6)</f>
        <v>141.17</v>
      </c>
      <c r="H21" s="5">
        <f>SUMIFS(Movimientos!$E$2:$E$312,Movimientos!$C$2:$C$312,$A21,Movimientos!$F$2:$F$312,7)</f>
        <v>67.86</v>
      </c>
      <c r="I21" s="5">
        <f>SUMIFS(Movimientos!$E$2:$E$312,Movimientos!$C$2:$C$312,$A21,Movimientos!$F$2:$F$312,8)</f>
        <v>188.01</v>
      </c>
      <c r="J21" s="5">
        <f>SUMIFS(Movimientos!$E$2:$E$312,Movimientos!$C$2:$C$312,$A21,Movimientos!$F$2:$F$312,9)</f>
        <v>26.07</v>
      </c>
      <c r="K21" s="5">
        <f>SUMIFS(Movimientos!$E$2:$E$312,Movimientos!$C$2:$C$312,$A21,Movimientos!$F$2:$F$312,10)</f>
        <v>77.43</v>
      </c>
      <c r="L21" s="5">
        <f>SUMIFS(Movimientos!$E$2:$E$312,Movimientos!$C$2:$C$312,$A21,Movimientos!$F$2:$F$312,11)</f>
        <v>94.29</v>
      </c>
      <c r="M21" s="5">
        <f>SUMIFS(Movimientos!$E$2:$E$312,Movimientos!$C$2:$C$312,$A21,Movimientos!$F$2:$F$312,12)</f>
        <v>79.2</v>
      </c>
      <c r="N21" s="6">
        <f>SUM(B21:M21)</f>
        <v>1373.39</v>
      </c>
      <c r="O21" s="5">
        <f>AVERAGE(B21:M21)</f>
        <v>114.44916666666667</v>
      </c>
      <c r="P21" s="7">
        <f>N21/N$26</f>
        <v>0.052306706763435164</v>
      </c>
      <c r="Q21" s="5">
        <f>SUMIF(Movimientos!$C$2:$C$312,$A21,Movimientos!$E$2:$E$312)</f>
        <v>1373.39</v>
      </c>
      <c r="R21" s="5">
        <f>VLOOKUP($A21,Categorías!$A$2:$C$19,3,FALSE)*12</f>
        <v>1440.0</v>
      </c>
      <c r="S21" s="8">
        <f>N21-R21</f>
        <v>-66.6099999999999</v>
      </c>
      <c r="T21" s="7">
        <f>IF(R21=0,0,N21/R21)</f>
        <v>0.9537430555555556</v>
      </c>
    </row>
    <row r="22" spans="1:20">
      <c r="A22" t="s">
        <v>19</v>
      </c>
      <c r="B22" s="5">
        <f>SUMIFS(Movimientos!$E$2:$E$312,Movimientos!$C$2:$C$312,$A22,Movimientos!$F$2:$F$312,1)</f>
        <v>0</v>
      </c>
      <c r="C22" s="5">
        <f>SUMIFS(Movimientos!$E$2:$E$312,Movimientos!$C$2:$C$312,$A22,Movimientos!$F$2:$F$312,2)</f>
        <v>105.03</v>
      </c>
      <c r="D22" s="5">
        <f>SUMIFS(Movimientos!$E$2:$E$312,Movimientos!$C$2:$C$312,$A22,Movimientos!$F$2:$F$312,3)</f>
        <v>0</v>
      </c>
      <c r="E22" s="5">
        <f>SUMIFS(Movimientos!$E$2:$E$312,Movimientos!$C$2:$C$312,$A22,Movimientos!$F$2:$F$312,4)</f>
        <v>192.19</v>
      </c>
      <c r="F22" s="5">
        <f>SUMIFS(Movimientos!$E$2:$E$312,Movimientos!$C$2:$C$312,$A22,Movimientos!$F$2:$F$312,5)</f>
        <v>162.12</v>
      </c>
      <c r="G22" s="5">
        <f>SUMIFS(Movimientos!$E$2:$E$312,Movimientos!$C$2:$C$312,$A22,Movimientos!$F$2:$F$312,6)</f>
        <v>84.43</v>
      </c>
      <c r="H22" s="5">
        <f>SUMIFS(Movimientos!$E$2:$E$312,Movimientos!$C$2:$C$312,$A22,Movimientos!$F$2:$F$312,7)</f>
        <v>0</v>
      </c>
      <c r="I22" s="5">
        <f>SUMIFS(Movimientos!$E$2:$E$312,Movimientos!$C$2:$C$312,$A22,Movimientos!$F$2:$F$312,8)</f>
        <v>186.12</v>
      </c>
      <c r="J22" s="5">
        <f>SUMIFS(Movimientos!$E$2:$E$312,Movimientos!$C$2:$C$312,$A22,Movimientos!$F$2:$F$312,9)</f>
        <v>187.81</v>
      </c>
      <c r="K22" s="5">
        <f>SUMIFS(Movimientos!$E$2:$E$312,Movimientos!$C$2:$C$312,$A22,Movimientos!$F$2:$F$312,10)</f>
        <v>113.3</v>
      </c>
      <c r="L22" s="5">
        <f>SUMIFS(Movimientos!$E$2:$E$312,Movimientos!$C$2:$C$312,$A22,Movimientos!$F$2:$F$312,11)</f>
        <v>83.21</v>
      </c>
      <c r="M22" s="5">
        <f>SUMIFS(Movimientos!$E$2:$E$312,Movimientos!$C$2:$C$312,$A22,Movimientos!$F$2:$F$312,12)</f>
        <v>0</v>
      </c>
      <c r="N22" s="6">
        <f>SUM(B22:M22)</f>
        <v>1114.21</v>
      </c>
      <c r="O22" s="5">
        <f>AVERAGE(B22:M22)</f>
        <v>92.85083333333334</v>
      </c>
      <c r="P22" s="7">
        <f>N22/N$26</f>
        <v>0.04243561970226017</v>
      </c>
      <c r="Q22" s="5">
        <f>SUMIF(Movimientos!$C$2:$C$312,$A22,Movimientos!$E$2:$E$312)</f>
        <v>1114.21</v>
      </c>
      <c r="R22" s="5">
        <f>VLOOKUP($A22,Categorías!$A$2:$C$19,3,FALSE)*12</f>
        <v>1080.0</v>
      </c>
      <c r="S22" s="8">
        <f>N22-R22</f>
        <v>34.210000000000036</v>
      </c>
      <c r="T22" s="7">
        <f>IF(R22=0,0,N22/R22)</f>
        <v>1.031675925925926</v>
      </c>
    </row>
    <row r="23" spans="1:20">
      <c r="A23" t="s">
        <v>20</v>
      </c>
      <c r="B23" s="5">
        <f>SUMIFS(Movimientos!$E$2:$E$312,Movimientos!$C$2:$C$312,$A23,Movimientos!$F$2:$F$312,1)</f>
        <v>42.24</v>
      </c>
      <c r="C23" s="5">
        <f>SUMIFS(Movimientos!$E$2:$E$312,Movimientos!$C$2:$C$312,$A23,Movimientos!$F$2:$F$312,2)</f>
        <v>0</v>
      </c>
      <c r="D23" s="5">
        <f>SUMIFS(Movimientos!$E$2:$E$312,Movimientos!$C$2:$C$312,$A23,Movimientos!$F$2:$F$312,3)</f>
        <v>0</v>
      </c>
      <c r="E23" s="5">
        <f>SUMIFS(Movimientos!$E$2:$E$312,Movimientos!$C$2:$C$312,$A23,Movimientos!$F$2:$F$312,4)</f>
        <v>64.58</v>
      </c>
      <c r="F23" s="5">
        <f>SUMIFS(Movimientos!$E$2:$E$312,Movimientos!$C$2:$C$312,$A23,Movimientos!$F$2:$F$312,5)</f>
        <v>31.82</v>
      </c>
      <c r="G23" s="5">
        <f>SUMIFS(Movimientos!$E$2:$E$312,Movimientos!$C$2:$C$312,$A23,Movimientos!$F$2:$F$312,6)</f>
        <v>82.6</v>
      </c>
      <c r="H23" s="5">
        <f>SUMIFS(Movimientos!$E$2:$E$312,Movimientos!$C$2:$C$312,$A23,Movimientos!$F$2:$F$312,7)</f>
        <v>129.12</v>
      </c>
      <c r="I23" s="5">
        <f>SUMIFS(Movimientos!$E$2:$E$312,Movimientos!$C$2:$C$312,$A23,Movimientos!$F$2:$F$312,8)</f>
        <v>0</v>
      </c>
      <c r="J23" s="5">
        <f>SUMIFS(Movimientos!$E$2:$E$312,Movimientos!$C$2:$C$312,$A23,Movimientos!$F$2:$F$312,9)</f>
        <v>90.59</v>
      </c>
      <c r="K23" s="5">
        <f>SUMIFS(Movimientos!$E$2:$E$312,Movimientos!$C$2:$C$312,$A23,Movimientos!$F$2:$F$312,10)</f>
        <v>77.91</v>
      </c>
      <c r="L23" s="5">
        <f>SUMIFS(Movimientos!$E$2:$E$312,Movimientos!$C$2:$C$312,$A23,Movimientos!$F$2:$F$312,11)</f>
        <v>86.82</v>
      </c>
      <c r="M23" s="5">
        <f>SUMIFS(Movimientos!$E$2:$E$312,Movimientos!$C$2:$C$312,$A23,Movimientos!$F$2:$F$312,12)</f>
        <v>128.34</v>
      </c>
      <c r="N23" s="6">
        <f>SUM(B23:M23)</f>
        <v>734.02</v>
      </c>
      <c r="O23" s="5">
        <f>AVERAGE(B23:M23)</f>
        <v>61.16833333333333</v>
      </c>
      <c r="P23" s="7">
        <f>N23/N$26</f>
        <v>0.027955765586247662</v>
      </c>
      <c r="Q23" s="5">
        <f>SUMIF(Movimientos!$C$2:$C$312,$A23,Movimientos!$E$2:$E$312)</f>
        <v>734.02</v>
      </c>
      <c r="R23" s="5">
        <f>VLOOKUP($A23,Categorías!$A$2:$C$19,3,FALSE)*12</f>
        <v>720.0</v>
      </c>
      <c r="S23" s="8">
        <f>N23-R23</f>
        <v>14.019999999999982</v>
      </c>
      <c r="T23" s="7">
        <f>IF(R23=0,0,N23/R23)</f>
        <v>1.0194722222222221</v>
      </c>
    </row>
    <row r="24" spans="1:20">
      <c r="A24" t="s">
        <v>21</v>
      </c>
      <c r="B24" s="5">
        <f>SUMIFS(Movimientos!$E$2:$E$312,Movimientos!$C$2:$C$312,$A24,Movimientos!$F$2:$F$312,1)</f>
        <v>60</v>
      </c>
      <c r="C24" s="5">
        <f>SUMIFS(Movimientos!$E$2:$E$312,Movimientos!$C$2:$C$312,$A24,Movimientos!$F$2:$F$312,2)</f>
        <v>60</v>
      </c>
      <c r="D24" s="5">
        <f>SUMIFS(Movimientos!$E$2:$E$312,Movimientos!$C$2:$C$312,$A24,Movimientos!$F$2:$F$312,3)</f>
        <v>60</v>
      </c>
      <c r="E24" s="5">
        <f>SUMIFS(Movimientos!$E$2:$E$312,Movimientos!$C$2:$C$312,$A24,Movimientos!$F$2:$F$312,4)</f>
        <v>60</v>
      </c>
      <c r="F24" s="5">
        <f>SUMIFS(Movimientos!$E$2:$E$312,Movimientos!$C$2:$C$312,$A24,Movimientos!$F$2:$F$312,5)</f>
        <v>60</v>
      </c>
      <c r="G24" s="5">
        <f>SUMIFS(Movimientos!$E$2:$E$312,Movimientos!$C$2:$C$312,$A24,Movimientos!$F$2:$F$312,6)</f>
        <v>60</v>
      </c>
      <c r="H24" s="5">
        <f>SUMIFS(Movimientos!$E$2:$E$312,Movimientos!$C$2:$C$312,$A24,Movimientos!$F$2:$F$312,7)</f>
        <v>0</v>
      </c>
      <c r="I24" s="5">
        <f>SUMIFS(Movimientos!$E$2:$E$312,Movimientos!$C$2:$C$312,$A24,Movimientos!$F$2:$F$312,8)</f>
        <v>0</v>
      </c>
      <c r="J24" s="5">
        <f>SUMIFS(Movimientos!$E$2:$E$312,Movimientos!$C$2:$C$312,$A24,Movimientos!$F$2:$F$312,9)</f>
        <v>408.75</v>
      </c>
      <c r="K24" s="5">
        <f>SUMIFS(Movimientos!$E$2:$E$312,Movimientos!$C$2:$C$312,$A24,Movimientos!$F$2:$F$312,10)</f>
        <v>60</v>
      </c>
      <c r="L24" s="5">
        <f>SUMIFS(Movimientos!$E$2:$E$312,Movimientos!$C$2:$C$312,$A24,Movimientos!$F$2:$F$312,11)</f>
        <v>60</v>
      </c>
      <c r="M24" s="5">
        <f>SUMIFS(Movimientos!$E$2:$E$312,Movimientos!$C$2:$C$312,$A24,Movimientos!$F$2:$F$312,12)</f>
        <v>60</v>
      </c>
      <c r="N24" s="6">
        <f>SUM(B24:M24)</f>
        <v>948.75</v>
      </c>
      <c r="O24" s="5">
        <f>AVERAGE(B24:M24)</f>
        <v>79.0625</v>
      </c>
      <c r="P24" s="7">
        <f>N24/N$26</f>
        <v>0.03613393722235425</v>
      </c>
      <c r="Q24" s="5">
        <f>SUMIF(Movimientos!$C$2:$C$312,$A24,Movimientos!$E$2:$E$312)</f>
        <v>948.75</v>
      </c>
      <c r="R24" s="5">
        <f>VLOOKUP($A24,Categorías!$A$2:$C$19,3,FALSE)*12</f>
        <v>1320.0</v>
      </c>
      <c r="S24" s="8">
        <f>N24-R24</f>
        <v>-371.25</v>
      </c>
      <c r="T24" s="7">
        <f>IF(R24=0,0,N24/R24)</f>
        <v>0.71875</v>
      </c>
    </row>
    <row r="25" spans="1:20">
      <c r="A25" t="s">
        <v>22</v>
      </c>
      <c r="B25" s="5">
        <f>SUMIFS(Movimientos!$E$2:$E$312,Movimientos!$C$2:$C$312,$A25,Movimientos!$F$2:$F$312,1)</f>
        <v>0</v>
      </c>
      <c r="C25" s="5">
        <f>SUMIFS(Movimientos!$E$2:$E$312,Movimientos!$C$2:$C$312,$A25,Movimientos!$F$2:$F$312,2)</f>
        <v>0</v>
      </c>
      <c r="D25" s="5">
        <f>SUMIFS(Movimientos!$E$2:$E$312,Movimientos!$C$2:$C$312,$A25,Movimientos!$F$2:$F$312,3)</f>
        <v>40.75</v>
      </c>
      <c r="E25" s="5">
        <f>SUMIFS(Movimientos!$E$2:$E$312,Movimientos!$C$2:$C$312,$A25,Movimientos!$F$2:$F$312,4)</f>
        <v>0</v>
      </c>
      <c r="F25" s="5">
        <f>SUMIFS(Movimientos!$E$2:$E$312,Movimientos!$C$2:$C$312,$A25,Movimientos!$F$2:$F$312,5)</f>
        <v>0</v>
      </c>
      <c r="G25" s="5">
        <f>SUMIFS(Movimientos!$E$2:$E$312,Movimientos!$C$2:$C$312,$A25,Movimientos!$F$2:$F$312,6)</f>
        <v>0</v>
      </c>
      <c r="H25" s="5">
        <f>SUMIFS(Movimientos!$E$2:$E$312,Movimientos!$C$2:$C$312,$A25,Movimientos!$F$2:$F$312,7)</f>
        <v>0</v>
      </c>
      <c r="I25" s="5">
        <f>SUMIFS(Movimientos!$E$2:$E$312,Movimientos!$C$2:$C$312,$A25,Movimientos!$F$2:$F$312,8)</f>
        <v>54.94</v>
      </c>
      <c r="J25" s="5">
        <f>SUMIFS(Movimientos!$E$2:$E$312,Movimientos!$C$2:$C$312,$A25,Movimientos!$F$2:$F$312,9)</f>
        <v>23.16</v>
      </c>
      <c r="K25" s="5">
        <f>SUMIFS(Movimientos!$E$2:$E$312,Movimientos!$C$2:$C$312,$A25,Movimientos!$F$2:$F$312,10)</f>
        <v>0</v>
      </c>
      <c r="L25" s="5">
        <f>SUMIFS(Movimientos!$E$2:$E$312,Movimientos!$C$2:$C$312,$A25,Movimientos!$F$2:$F$312,11)</f>
        <v>0</v>
      </c>
      <c r="M25" s="5">
        <f>SUMIFS(Movimientos!$E$2:$E$312,Movimientos!$C$2:$C$312,$A25,Movimientos!$F$2:$F$312,12)</f>
        <v>316.85</v>
      </c>
      <c r="N25" s="6">
        <f>SUM(B25:M25)</f>
        <v>435.7</v>
      </c>
      <c r="O25" s="5">
        <f>AVERAGE(B25:M25)</f>
        <v>36.30833333333333</v>
      </c>
      <c r="P25" s="7">
        <f>N25/N$26</f>
        <v>0.016593998890940445</v>
      </c>
      <c r="Q25" s="5">
        <f>SUMIF(Movimientos!$C$2:$C$312,$A25,Movimientos!$E$2:$E$312)</f>
        <v>435.7</v>
      </c>
      <c r="R25" s="5">
        <f>VLOOKUP($A25,Categorías!$A$2:$C$19,3,FALSE)*12</f>
        <v>480.0</v>
      </c>
      <c r="S25" s="8">
        <f>N25-R25</f>
        <v>-44.30000000000001</v>
      </c>
      <c r="T25" s="7">
        <f>IF(R25=0,0,N25/R25)</f>
        <v>0.9077083333333333</v>
      </c>
    </row>
    <row r="26" spans="1:20">
      <c r="A26" s="4" t="s">
        <v>91</v>
      </c>
      <c r="B26" s="9">
        <f>SUM(B11:B25)</f>
        <v>2079.36</v>
      </c>
      <c r="C26" s="9">
        <f>SUM(C11:C25)</f>
        <v>1828.91</v>
      </c>
      <c r="D26" s="9">
        <f>SUM(D11:D25)</f>
        <v>2595.76</v>
      </c>
      <c r="E26" s="9">
        <f>SUM(E11:E25)</f>
        <v>2329.1</v>
      </c>
      <c r="F26" s="9">
        <f>SUM(F11:F25)</f>
        <v>2326.15</v>
      </c>
      <c r="G26" s="9">
        <f>SUM(G11:G25)</f>
        <v>1937.92</v>
      </c>
      <c r="H26" s="9">
        <f>SUM(H11:H25)</f>
        <v>2205.39</v>
      </c>
      <c r="I26" s="9">
        <f>SUM(I11:I25)</f>
        <v>2076.42</v>
      </c>
      <c r="J26" s="9">
        <f>SUM(J11:J25)</f>
        <v>2469.85</v>
      </c>
      <c r="K26" s="9">
        <f>SUM(K11:K25)</f>
        <v>2051.81</v>
      </c>
      <c r="L26" s="9">
        <f>SUM(L11:L25)</f>
        <v>2015.63</v>
      </c>
      <c r="M26" s="9">
        <f>SUM(M11:M25)</f>
        <v>2340.18</v>
      </c>
      <c r="N26" s="10">
        <f>SUM(N11:N25)</f>
        <v>26256.48</v>
      </c>
      <c r="O26" s="9">
        <f>AVERAGE(B26:M26)</f>
        <v>2188.04</v>
      </c>
      <c r="P26" s="11">
        <f>SUM(P11:P25)</f>
        <v>1.0</v>
      </c>
      <c r="Q26" s="9">
        <f>SUM(Q11:Q25)</f>
        <v>26256.48</v>
      </c>
      <c r="R26" s="9">
        <f>SUM(R11:R25)</f>
        <v>28738.8</v>
      </c>
      <c r="S26" s="12">
        <f>N26-R26</f>
        <v>-2482.3199999999997</v>
      </c>
      <c r="T26" s="11">
        <f>IF(R26=0,0,N26/R26)</f>
        <v>0.913624786003591</v>
      </c>
    </row>
    <row r="28" spans="1:20">
      <c r="A28" s="4" t="s">
        <v>92</v>
      </c>
      <c r="B28" s="12">
        <f>B8-B26</f>
        <v>2544.2599999999998</v>
      </c>
      <c r="C28" s="12">
        <f>C8-C26</f>
        <v>2880.05</v>
      </c>
      <c r="D28" s="12">
        <f>D8-D26</f>
        <v>2005.54</v>
      </c>
      <c r="E28" s="12">
        <f>E8-E26</f>
        <v>2100.9</v>
      </c>
      <c r="F28" s="12">
        <f>F8-F26</f>
        <v>2103.85</v>
      </c>
      <c r="G28" s="12">
        <f>G8-G26</f>
        <v>4942.08</v>
      </c>
      <c r="H28" s="12">
        <f>H8-H26</f>
        <v>4204.610000000001</v>
      </c>
      <c r="I28" s="12">
        <f>I8-I26</f>
        <v>2353.58</v>
      </c>
      <c r="J28" s="12">
        <f>J8-J26</f>
        <v>1960.15</v>
      </c>
      <c r="K28" s="12">
        <f>K8-K26</f>
        <v>2544.06</v>
      </c>
      <c r="L28" s="12">
        <f>L8-L26</f>
        <v>2414.37</v>
      </c>
      <c r="M28" s="12">
        <f>M8-M26</f>
        <v>6899.639999999999</v>
      </c>
      <c r="N28" s="12">
        <f>N8-N26</f>
        <v>36953.09</v>
      </c>
    </row>
    <row r="29" spans="1:20">
      <c r="A29" s="4" t="s">
        <v>93</v>
      </c>
      <c r="B29" s="11">
        <f>IF(B8=0,0,B28/B8)</f>
        <v>0.550274460271389</v>
      </c>
      <c r="C29" s="11">
        <f>IF(C8=0,0,C28/C8)</f>
        <v>0.611610631646903</v>
      </c>
      <c r="D29" s="11">
        <f>IF(D8=0,0,D28/D8)</f>
        <v>0.4358637776280616</v>
      </c>
      <c r="E29" s="11">
        <f>IF(E8=0,0,E28/E8)</f>
        <v>0.4742437923250565</v>
      </c>
      <c r="F29" s="11">
        <f>IF(F8=0,0,F28/F8)</f>
        <v>0.4749097065462754</v>
      </c>
      <c r="G29" s="11">
        <f>IF(G8=0,0,G28/G8)</f>
        <v>0.7183255813953489</v>
      </c>
      <c r="H29" s="11">
        <f>IF(H8=0,0,H28/H8)</f>
        <v>0.6559453978159128</v>
      </c>
      <c r="I29" s="11">
        <f>IF(I8=0,0,I28/I8)</f>
        <v>0.5312821670428893</v>
      </c>
      <c r="J29" s="11">
        <f>IF(J8=0,0,J28/J8)</f>
        <v>0.4424717832957111</v>
      </c>
      <c r="K29" s="11">
        <f>IF(K8=0,0,K28/K8)</f>
        <v>0.5535535165267947</v>
      </c>
      <c r="L29" s="11">
        <f>IF(L8=0,0,L28/L8)</f>
        <v>0.5450045146726862</v>
      </c>
      <c r="M29" s="11">
        <f>IF(M8=0,0,M28/M8)</f>
        <v>0.7467288323798515</v>
      </c>
      <c r="N29" s="11">
        <f>IF(N8=0,0,N28/N8)</f>
        <v>0.5846122667817547</v>
      </c>
    </row>
  </sheetData>
  <mergeCells count="1">
    <mergeCell ref="A1:T1"/>
  </mergeCells>
  <conditionalFormatting sqref="B11:M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1:P25">
    <cfRule type="dataBar" priority="3">
      <dataBar>
        <cfvo type="min" val="0"/>
        <cfvo type="max" val="0"/>
        <color rgb="FF5B9BD5"/>
      </dataBar>
    </cfRule>
  </conditionalFormatting>
  <conditionalFormatting sqref="T11:T25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8.7109375" customWidth="1"/>
    <col min="4" max="4" width="9.7109375" customWidth="1"/>
    <col min="5" max="5" width="13.7109375" customWidth="1"/>
    <col min="6" max="6" width="6.7109375" customWidth="1"/>
  </cols>
  <sheetData>
    <row r="1" spans="1:6">
      <c r="A1" s="3" t="s">
        <v>23</v>
      </c>
      <c r="B1" s="3" t="s">
        <v>24</v>
      </c>
      <c r="C1" s="3" t="s">
        <v>0</v>
      </c>
      <c r="D1" s="3" t="s">
        <v>1</v>
      </c>
      <c r="E1" s="3" t="s">
        <v>25</v>
      </c>
      <c r="F1" s="3" t="s">
        <v>26</v>
      </c>
    </row>
    <row r="2" spans="1:6">
      <c r="A2" s="13">
        <v>45658</v>
      </c>
      <c r="B2" t="s">
        <v>27</v>
      </c>
      <c r="C2" t="s">
        <v>7</v>
      </c>
      <c r="D2" t="s">
        <v>8</v>
      </c>
      <c r="E2" s="5">
        <v>780</v>
      </c>
      <c r="F2">
        <f>MONTH(A2)</f>
        <v>1</v>
      </c>
    </row>
    <row r="3" spans="1:6">
      <c r="A3" s="13">
        <v>45658</v>
      </c>
      <c r="B3" t="s">
        <v>28</v>
      </c>
      <c r="C3" t="s">
        <v>18</v>
      </c>
      <c r="D3" t="s">
        <v>8</v>
      </c>
      <c r="E3" s="5">
        <v>51.79</v>
      </c>
      <c r="F3">
        <f>MONTH(A3)</f>
        <v>1</v>
      </c>
    </row>
    <row r="4" spans="1:6">
      <c r="A4" s="13">
        <v>45659</v>
      </c>
      <c r="B4" t="s">
        <v>29</v>
      </c>
      <c r="C4" t="s">
        <v>21</v>
      </c>
      <c r="D4" t="s">
        <v>8</v>
      </c>
      <c r="E4" s="5">
        <v>60</v>
      </c>
      <c r="F4">
        <f>MONTH(A4)</f>
        <v>1</v>
      </c>
    </row>
    <row r="5" spans="1:6">
      <c r="A5" s="13">
        <v>45660</v>
      </c>
      <c r="B5" t="s">
        <v>30</v>
      </c>
      <c r="C5" t="s">
        <v>13</v>
      </c>
      <c r="D5" t="s">
        <v>8</v>
      </c>
      <c r="E5" s="5">
        <v>59.9</v>
      </c>
      <c r="F5">
        <f>MONTH(A5)</f>
        <v>1</v>
      </c>
    </row>
    <row r="6" spans="1:6">
      <c r="A6" s="13">
        <v>45661</v>
      </c>
      <c r="B6" t="s">
        <v>31</v>
      </c>
      <c r="C6" t="s">
        <v>20</v>
      </c>
      <c r="D6" t="s">
        <v>8</v>
      </c>
      <c r="E6" s="5">
        <v>42.24</v>
      </c>
      <c r="F6">
        <f>MONTH(A6)</f>
        <v>1</v>
      </c>
    </row>
    <row r="7" spans="1:6">
      <c r="A7" s="13">
        <v>45662</v>
      </c>
      <c r="B7" t="s">
        <v>32</v>
      </c>
      <c r="C7" t="s">
        <v>9</v>
      </c>
      <c r="D7" t="s">
        <v>8</v>
      </c>
      <c r="E7" s="5">
        <v>65</v>
      </c>
      <c r="F7">
        <f>MONTH(A7)</f>
        <v>1</v>
      </c>
    </row>
    <row r="8" spans="1:6">
      <c r="A8" s="13">
        <v>45664</v>
      </c>
      <c r="B8" t="s">
        <v>33</v>
      </c>
      <c r="C8" t="s">
        <v>15</v>
      </c>
      <c r="D8" t="s">
        <v>8</v>
      </c>
      <c r="E8" s="5">
        <v>43.18</v>
      </c>
      <c r="F8">
        <f>MONTH(A8)</f>
        <v>1</v>
      </c>
    </row>
    <row r="9" spans="1:6">
      <c r="A9" s="13">
        <v>45667</v>
      </c>
      <c r="B9" t="s">
        <v>34</v>
      </c>
      <c r="C9" t="s">
        <v>16</v>
      </c>
      <c r="D9" t="s">
        <v>8</v>
      </c>
      <c r="E9" s="5">
        <v>35</v>
      </c>
      <c r="F9">
        <f>MONTH(A9)</f>
        <v>1</v>
      </c>
    </row>
    <row r="10" spans="1:6">
      <c r="A10" s="13">
        <v>45667</v>
      </c>
      <c r="B10" t="s">
        <v>35</v>
      </c>
      <c r="C10" t="s">
        <v>14</v>
      </c>
      <c r="D10" t="s">
        <v>8</v>
      </c>
      <c r="E10" s="5">
        <v>36.33</v>
      </c>
      <c r="F10">
        <f>MONTH(A10)</f>
        <v>1</v>
      </c>
    </row>
    <row r="11" spans="1:6">
      <c r="A11" s="13">
        <v>45668</v>
      </c>
      <c r="B11" t="s">
        <v>36</v>
      </c>
      <c r="C11" t="s">
        <v>18</v>
      </c>
      <c r="D11" t="s">
        <v>8</v>
      </c>
      <c r="E11" s="5">
        <v>48.77</v>
      </c>
      <c r="F11">
        <f>MONTH(A11)</f>
        <v>1</v>
      </c>
    </row>
    <row r="12" spans="1:6">
      <c r="A12" s="13">
        <v>45669</v>
      </c>
      <c r="B12" t="s">
        <v>37</v>
      </c>
      <c r="C12" t="s">
        <v>10</v>
      </c>
      <c r="D12" t="s">
        <v>8</v>
      </c>
      <c r="E12" s="5">
        <v>60.15</v>
      </c>
      <c r="F12">
        <f>MONTH(A12)</f>
        <v>1</v>
      </c>
    </row>
    <row r="13" spans="1:6">
      <c r="A13" s="13">
        <v>45670</v>
      </c>
      <c r="B13" t="s">
        <v>38</v>
      </c>
      <c r="C13" t="s">
        <v>14</v>
      </c>
      <c r="D13" t="s">
        <v>8</v>
      </c>
      <c r="E13" s="5">
        <v>106.74</v>
      </c>
      <c r="F13">
        <f>MONTH(A13)</f>
        <v>1</v>
      </c>
    </row>
    <row r="14" spans="1:6">
      <c r="A14" s="13">
        <v>45672</v>
      </c>
      <c r="B14" t="s">
        <v>39</v>
      </c>
      <c r="C14" t="s">
        <v>12</v>
      </c>
      <c r="D14" t="s">
        <v>8</v>
      </c>
      <c r="E14" s="5">
        <v>93.79000000000001</v>
      </c>
      <c r="F14">
        <f>MONTH(A14)</f>
        <v>1</v>
      </c>
    </row>
    <row r="15" spans="1:6">
      <c r="A15" s="13">
        <v>45673</v>
      </c>
      <c r="B15" t="s">
        <v>40</v>
      </c>
      <c r="C15" t="s">
        <v>17</v>
      </c>
      <c r="D15" t="s">
        <v>8</v>
      </c>
      <c r="E15" s="5">
        <v>66.98</v>
      </c>
      <c r="F15">
        <f>MONTH(A15)</f>
        <v>1</v>
      </c>
    </row>
    <row r="16" spans="1:6">
      <c r="A16" s="13">
        <v>45674</v>
      </c>
      <c r="B16" t="s">
        <v>41</v>
      </c>
      <c r="C16" t="s">
        <v>17</v>
      </c>
      <c r="D16" t="s">
        <v>8</v>
      </c>
      <c r="E16" s="5">
        <v>65.14</v>
      </c>
      <c r="F16">
        <f>MONTH(A16)</f>
        <v>1</v>
      </c>
    </row>
    <row r="17" spans="1:6">
      <c r="A17" s="13">
        <v>45675</v>
      </c>
      <c r="B17" t="s">
        <v>42</v>
      </c>
      <c r="C17" t="s">
        <v>6</v>
      </c>
      <c r="D17" t="s">
        <v>4</v>
      </c>
      <c r="E17" s="5">
        <v>193.62</v>
      </c>
      <c r="F17">
        <f>MONTH(A17)</f>
        <v>1</v>
      </c>
    </row>
    <row r="18" spans="1:6">
      <c r="A18" s="13">
        <v>45675</v>
      </c>
      <c r="B18" t="s">
        <v>28</v>
      </c>
      <c r="C18" t="s">
        <v>18</v>
      </c>
      <c r="D18" t="s">
        <v>8</v>
      </c>
      <c r="E18" s="5">
        <v>60.47</v>
      </c>
      <c r="F18">
        <f>MONTH(A18)</f>
        <v>1</v>
      </c>
    </row>
    <row r="19" spans="1:6">
      <c r="A19" s="13">
        <v>45677</v>
      </c>
      <c r="B19" t="s">
        <v>43</v>
      </c>
      <c r="C19" t="s">
        <v>11</v>
      </c>
      <c r="D19" t="s">
        <v>8</v>
      </c>
      <c r="E19" s="5">
        <v>60.51</v>
      </c>
      <c r="F19">
        <f>MONTH(A19)</f>
        <v>1</v>
      </c>
    </row>
    <row r="20" spans="1:6">
      <c r="A20" s="13">
        <v>45677</v>
      </c>
      <c r="B20" t="s">
        <v>35</v>
      </c>
      <c r="C20" t="s">
        <v>14</v>
      </c>
      <c r="D20" t="s">
        <v>8</v>
      </c>
      <c r="E20" s="5">
        <v>102.89</v>
      </c>
      <c r="F20">
        <f>MONTH(A20)</f>
        <v>1</v>
      </c>
    </row>
    <row r="21" spans="1:6">
      <c r="A21" s="13">
        <v>45678</v>
      </c>
      <c r="B21" t="s">
        <v>44</v>
      </c>
      <c r="C21" t="s">
        <v>18</v>
      </c>
      <c r="D21" t="s">
        <v>8</v>
      </c>
      <c r="E21" s="5">
        <v>42.41</v>
      </c>
      <c r="F21">
        <f>MONTH(A21)</f>
        <v>1</v>
      </c>
    </row>
    <row r="22" spans="1:6">
      <c r="A22" s="13">
        <v>45682</v>
      </c>
      <c r="B22" t="s">
        <v>45</v>
      </c>
      <c r="C22" t="s">
        <v>15</v>
      </c>
      <c r="D22" t="s">
        <v>8</v>
      </c>
      <c r="E22" s="5">
        <v>28.97</v>
      </c>
      <c r="F22">
        <f>MONTH(A22)</f>
        <v>1</v>
      </c>
    </row>
    <row r="23" spans="1:6">
      <c r="A23" s="13">
        <v>45683</v>
      </c>
      <c r="B23" t="s">
        <v>35</v>
      </c>
      <c r="C23" t="s">
        <v>14</v>
      </c>
      <c r="D23" t="s">
        <v>8</v>
      </c>
      <c r="E23" s="5">
        <v>36.77</v>
      </c>
      <c r="F23">
        <f>MONTH(A23)</f>
        <v>1</v>
      </c>
    </row>
    <row r="24" spans="1:6">
      <c r="A24" s="13">
        <v>45683</v>
      </c>
      <c r="B24" t="s">
        <v>46</v>
      </c>
      <c r="C24" t="s">
        <v>14</v>
      </c>
      <c r="D24" t="s">
        <v>8</v>
      </c>
      <c r="E24" s="5">
        <v>99.43000000000001</v>
      </c>
      <c r="F24">
        <f>MONTH(A24)</f>
        <v>1</v>
      </c>
    </row>
    <row r="25" spans="1:6">
      <c r="A25" s="13">
        <v>45684</v>
      </c>
      <c r="B25" t="s">
        <v>47</v>
      </c>
      <c r="C25" t="s">
        <v>5</v>
      </c>
      <c r="D25" t="s">
        <v>4</v>
      </c>
      <c r="E25" s="5">
        <v>1980</v>
      </c>
      <c r="F25">
        <f>MONTH(A25)</f>
        <v>1</v>
      </c>
    </row>
    <row r="26" spans="1:6">
      <c r="A26" s="13">
        <v>45684</v>
      </c>
      <c r="B26" t="s">
        <v>48</v>
      </c>
      <c r="C26" t="s">
        <v>14</v>
      </c>
      <c r="D26" t="s">
        <v>8</v>
      </c>
      <c r="E26" s="5">
        <v>32.9</v>
      </c>
      <c r="F26">
        <f>MONTH(A26)</f>
        <v>1</v>
      </c>
    </row>
    <row r="27" spans="1:6">
      <c r="A27" s="13">
        <v>45685</v>
      </c>
      <c r="B27" t="s">
        <v>49</v>
      </c>
      <c r="C27" t="s">
        <v>3</v>
      </c>
      <c r="D27" t="s">
        <v>4</v>
      </c>
      <c r="E27" s="5">
        <v>2450</v>
      </c>
      <c r="F27">
        <f>MONTH(A27)</f>
        <v>1</v>
      </c>
    </row>
    <row r="28" spans="1:6">
      <c r="A28" s="13">
        <v>45689</v>
      </c>
      <c r="B28" t="s">
        <v>50</v>
      </c>
      <c r="C28" t="s">
        <v>6</v>
      </c>
      <c r="D28" t="s">
        <v>4</v>
      </c>
      <c r="E28" s="5">
        <v>111.3</v>
      </c>
      <c r="F28">
        <f>MONTH(A28)</f>
        <v>2</v>
      </c>
    </row>
    <row r="29" spans="1:6">
      <c r="A29" s="13">
        <v>45689</v>
      </c>
      <c r="B29" t="s">
        <v>27</v>
      </c>
      <c r="C29" t="s">
        <v>7</v>
      </c>
      <c r="D29" t="s">
        <v>8</v>
      </c>
      <c r="E29" s="5">
        <v>780</v>
      </c>
      <c r="F29">
        <f>MONTH(A29)</f>
        <v>2</v>
      </c>
    </row>
    <row r="30" spans="1:6">
      <c r="A30" s="13">
        <v>45689</v>
      </c>
      <c r="B30" t="s">
        <v>51</v>
      </c>
      <c r="C30" t="s">
        <v>17</v>
      </c>
      <c r="D30" t="s">
        <v>8</v>
      </c>
      <c r="E30" s="5">
        <v>83.73999999999999</v>
      </c>
      <c r="F30">
        <f>MONTH(A30)</f>
        <v>2</v>
      </c>
    </row>
    <row r="31" spans="1:6">
      <c r="A31" s="13">
        <v>45690</v>
      </c>
      <c r="B31" t="s">
        <v>29</v>
      </c>
      <c r="C31" t="s">
        <v>21</v>
      </c>
      <c r="D31" t="s">
        <v>8</v>
      </c>
      <c r="E31" s="5">
        <v>60</v>
      </c>
      <c r="F31">
        <f>MONTH(A31)</f>
        <v>2</v>
      </c>
    </row>
    <row r="32" spans="1:6">
      <c r="A32" s="13">
        <v>45690</v>
      </c>
      <c r="B32" t="s">
        <v>42</v>
      </c>
      <c r="C32" t="s">
        <v>6</v>
      </c>
      <c r="D32" t="s">
        <v>4</v>
      </c>
      <c r="E32" s="5">
        <v>167.66</v>
      </c>
      <c r="F32">
        <f>MONTH(A32)</f>
        <v>2</v>
      </c>
    </row>
    <row r="33" spans="1:6">
      <c r="A33" s="13">
        <v>45691</v>
      </c>
      <c r="B33" t="s">
        <v>30</v>
      </c>
      <c r="C33" t="s">
        <v>13</v>
      </c>
      <c r="D33" t="s">
        <v>8</v>
      </c>
      <c r="E33" s="5">
        <v>59.9</v>
      </c>
      <c r="F33">
        <f>MONTH(A33)</f>
        <v>2</v>
      </c>
    </row>
    <row r="34" spans="1:6">
      <c r="A34" s="13">
        <v>45693</v>
      </c>
      <c r="B34" t="s">
        <v>32</v>
      </c>
      <c r="C34" t="s">
        <v>9</v>
      </c>
      <c r="D34" t="s">
        <v>8</v>
      </c>
      <c r="E34" s="5">
        <v>65</v>
      </c>
      <c r="F34">
        <f>MONTH(A34)</f>
        <v>2</v>
      </c>
    </row>
    <row r="35" spans="1:6">
      <c r="A35" s="13">
        <v>45693</v>
      </c>
      <c r="B35" t="s">
        <v>52</v>
      </c>
      <c r="C35" t="s">
        <v>19</v>
      </c>
      <c r="D35" t="s">
        <v>8</v>
      </c>
      <c r="E35" s="5">
        <v>72.98999999999999</v>
      </c>
      <c r="F35">
        <f>MONTH(A35)</f>
        <v>2</v>
      </c>
    </row>
    <row r="36" spans="1:6">
      <c r="A36" s="13">
        <v>45695</v>
      </c>
      <c r="B36" t="s">
        <v>36</v>
      </c>
      <c r="C36" t="s">
        <v>18</v>
      </c>
      <c r="D36" t="s">
        <v>8</v>
      </c>
      <c r="E36" s="5">
        <v>41.66</v>
      </c>
      <c r="F36">
        <f>MONTH(A36)</f>
        <v>2</v>
      </c>
    </row>
    <row r="37" spans="1:6">
      <c r="A37" s="13">
        <v>45695</v>
      </c>
      <c r="B37" t="s">
        <v>53</v>
      </c>
      <c r="C37" t="s">
        <v>14</v>
      </c>
      <c r="D37" t="s">
        <v>8</v>
      </c>
      <c r="E37" s="5">
        <v>67.11</v>
      </c>
      <c r="F37">
        <f>MONTH(A37)</f>
        <v>2</v>
      </c>
    </row>
    <row r="38" spans="1:6">
      <c r="A38" s="13">
        <v>45698</v>
      </c>
      <c r="B38" t="s">
        <v>34</v>
      </c>
      <c r="C38" t="s">
        <v>16</v>
      </c>
      <c r="D38" t="s">
        <v>8</v>
      </c>
      <c r="E38" s="5">
        <v>35</v>
      </c>
      <c r="F38">
        <f>MONTH(A38)</f>
        <v>2</v>
      </c>
    </row>
    <row r="39" spans="1:6">
      <c r="A39" s="13">
        <v>45698</v>
      </c>
      <c r="B39" t="s">
        <v>53</v>
      </c>
      <c r="C39" t="s">
        <v>14</v>
      </c>
      <c r="D39" t="s">
        <v>8</v>
      </c>
      <c r="E39" s="5">
        <v>26.89</v>
      </c>
      <c r="F39">
        <f>MONTH(A39)</f>
        <v>2</v>
      </c>
    </row>
    <row r="40" spans="1:6">
      <c r="A40" s="13">
        <v>45701</v>
      </c>
      <c r="B40" t="s">
        <v>37</v>
      </c>
      <c r="C40" t="s">
        <v>10</v>
      </c>
      <c r="D40" t="s">
        <v>8</v>
      </c>
      <c r="E40" s="5">
        <v>73.44</v>
      </c>
      <c r="F40">
        <f>MONTH(A40)</f>
        <v>2</v>
      </c>
    </row>
    <row r="41" spans="1:6">
      <c r="A41" s="13">
        <v>45701</v>
      </c>
      <c r="B41" t="s">
        <v>54</v>
      </c>
      <c r="C41" t="s">
        <v>15</v>
      </c>
      <c r="D41" t="s">
        <v>8</v>
      </c>
      <c r="E41" s="5">
        <v>32.53</v>
      </c>
      <c r="F41">
        <f>MONTH(A41)</f>
        <v>2</v>
      </c>
    </row>
    <row r="42" spans="1:6">
      <c r="A42" s="13">
        <v>45702</v>
      </c>
      <c r="B42" t="s">
        <v>46</v>
      </c>
      <c r="C42" t="s">
        <v>14</v>
      </c>
      <c r="D42" t="s">
        <v>8</v>
      </c>
      <c r="E42" s="5">
        <v>41.82</v>
      </c>
      <c r="F42">
        <f>MONTH(A42)</f>
        <v>2</v>
      </c>
    </row>
    <row r="43" spans="1:6">
      <c r="A43" s="13">
        <v>45703</v>
      </c>
      <c r="B43" t="s">
        <v>39</v>
      </c>
      <c r="C43" t="s">
        <v>12</v>
      </c>
      <c r="D43" t="s">
        <v>8</v>
      </c>
      <c r="E43" s="5">
        <v>73.65000000000001</v>
      </c>
      <c r="F43">
        <f>MONTH(A43)</f>
        <v>2</v>
      </c>
    </row>
    <row r="44" spans="1:6">
      <c r="A44" s="13">
        <v>45703</v>
      </c>
      <c r="B44" t="s">
        <v>38</v>
      </c>
      <c r="C44" t="s">
        <v>14</v>
      </c>
      <c r="D44" t="s">
        <v>8</v>
      </c>
      <c r="E44" s="5">
        <v>47.21</v>
      </c>
      <c r="F44">
        <f>MONTH(A44)</f>
        <v>2</v>
      </c>
    </row>
    <row r="45" spans="1:6">
      <c r="A45" s="13">
        <v>45706</v>
      </c>
      <c r="B45" t="s">
        <v>35</v>
      </c>
      <c r="C45" t="s">
        <v>14</v>
      </c>
      <c r="D45" t="s">
        <v>8</v>
      </c>
      <c r="E45" s="5">
        <v>80.93000000000001</v>
      </c>
      <c r="F45">
        <f>MONTH(A45)</f>
        <v>2</v>
      </c>
    </row>
    <row r="46" spans="1:6">
      <c r="A46" s="13">
        <v>45709</v>
      </c>
      <c r="B46" t="s">
        <v>55</v>
      </c>
      <c r="C46" t="s">
        <v>19</v>
      </c>
      <c r="D46" t="s">
        <v>8</v>
      </c>
      <c r="E46" s="5">
        <v>32.04</v>
      </c>
      <c r="F46">
        <f>MONTH(A46)</f>
        <v>2</v>
      </c>
    </row>
    <row r="47" spans="1:6">
      <c r="A47" s="13">
        <v>45711</v>
      </c>
      <c r="B47" t="s">
        <v>46</v>
      </c>
      <c r="C47" t="s">
        <v>14</v>
      </c>
      <c r="D47" t="s">
        <v>8</v>
      </c>
      <c r="E47" s="5">
        <v>26.37</v>
      </c>
      <c r="F47">
        <f>MONTH(A47)</f>
        <v>2</v>
      </c>
    </row>
    <row r="48" spans="1:6">
      <c r="A48" s="13">
        <v>45712</v>
      </c>
      <c r="B48" t="s">
        <v>33</v>
      </c>
      <c r="C48" t="s">
        <v>15</v>
      </c>
      <c r="D48" t="s">
        <v>8</v>
      </c>
      <c r="E48" s="5">
        <v>33.8</v>
      </c>
      <c r="F48">
        <f>MONTH(A48)</f>
        <v>2</v>
      </c>
    </row>
    <row r="49" spans="1:6">
      <c r="A49" s="13">
        <v>45714</v>
      </c>
      <c r="B49" t="s">
        <v>51</v>
      </c>
      <c r="C49" t="s">
        <v>17</v>
      </c>
      <c r="D49" t="s">
        <v>8</v>
      </c>
      <c r="E49" s="5">
        <v>94.83</v>
      </c>
      <c r="F49">
        <f>MONTH(A49)</f>
        <v>2</v>
      </c>
    </row>
    <row r="50" spans="1:6">
      <c r="A50" s="13">
        <v>45715</v>
      </c>
      <c r="B50" t="s">
        <v>47</v>
      </c>
      <c r="C50" t="s">
        <v>5</v>
      </c>
      <c r="D50" t="s">
        <v>4</v>
      </c>
      <c r="E50" s="5">
        <v>1980</v>
      </c>
      <c r="F50">
        <f>MONTH(A50)</f>
        <v>2</v>
      </c>
    </row>
    <row r="51" spans="1:6">
      <c r="A51" s="13">
        <v>45716</v>
      </c>
      <c r="B51" t="s">
        <v>49</v>
      </c>
      <c r="C51" t="s">
        <v>3</v>
      </c>
      <c r="D51" t="s">
        <v>4</v>
      </c>
      <c r="E51" s="5">
        <v>2450</v>
      </c>
      <c r="F51">
        <f>MONTH(A51)</f>
        <v>2</v>
      </c>
    </row>
    <row r="52" spans="1:6">
      <c r="A52" s="13">
        <v>45717</v>
      </c>
      <c r="B52" t="s">
        <v>27</v>
      </c>
      <c r="C52" t="s">
        <v>7</v>
      </c>
      <c r="D52" t="s">
        <v>8</v>
      </c>
      <c r="E52" s="5">
        <v>780</v>
      </c>
      <c r="F52">
        <f>MONTH(A52)</f>
        <v>3</v>
      </c>
    </row>
    <row r="53" spans="1:6">
      <c r="A53" s="13">
        <v>45718</v>
      </c>
      <c r="B53" t="s">
        <v>29</v>
      </c>
      <c r="C53" t="s">
        <v>21</v>
      </c>
      <c r="D53" t="s">
        <v>8</v>
      </c>
      <c r="E53" s="5">
        <v>60</v>
      </c>
      <c r="F53">
        <f>MONTH(A53)</f>
        <v>3</v>
      </c>
    </row>
    <row r="54" spans="1:6">
      <c r="A54" s="13">
        <v>45719</v>
      </c>
      <c r="B54" t="s">
        <v>30</v>
      </c>
      <c r="C54" t="s">
        <v>13</v>
      </c>
      <c r="D54" t="s">
        <v>8</v>
      </c>
      <c r="E54" s="5">
        <v>59.9</v>
      </c>
      <c r="F54">
        <f>MONTH(A54)</f>
        <v>3</v>
      </c>
    </row>
    <row r="55" spans="1:6">
      <c r="A55" s="13">
        <v>45720</v>
      </c>
      <c r="B55" t="s">
        <v>54</v>
      </c>
      <c r="C55" t="s">
        <v>15</v>
      </c>
      <c r="D55" t="s">
        <v>8</v>
      </c>
      <c r="E55" s="5">
        <v>14.01</v>
      </c>
      <c r="F55">
        <f>MONTH(A55)</f>
        <v>3</v>
      </c>
    </row>
    <row r="56" spans="1:6">
      <c r="A56" s="13">
        <v>45721</v>
      </c>
      <c r="B56" t="s">
        <v>32</v>
      </c>
      <c r="C56" t="s">
        <v>9</v>
      </c>
      <c r="D56" t="s">
        <v>8</v>
      </c>
      <c r="E56" s="5">
        <v>65</v>
      </c>
      <c r="F56">
        <f>MONTH(A56)</f>
        <v>3</v>
      </c>
    </row>
    <row r="57" spans="1:6">
      <c r="A57" s="13">
        <v>45721</v>
      </c>
      <c r="B57" t="s">
        <v>48</v>
      </c>
      <c r="C57" t="s">
        <v>14</v>
      </c>
      <c r="D57" t="s">
        <v>8</v>
      </c>
      <c r="E57" s="5">
        <v>85.47</v>
      </c>
      <c r="F57">
        <f>MONTH(A57)</f>
        <v>3</v>
      </c>
    </row>
    <row r="58" spans="1:6">
      <c r="A58" s="13">
        <v>45722</v>
      </c>
      <c r="B58" t="s">
        <v>40</v>
      </c>
      <c r="C58" t="s">
        <v>17</v>
      </c>
      <c r="D58" t="s">
        <v>8</v>
      </c>
      <c r="E58" s="5">
        <v>22.49</v>
      </c>
      <c r="F58">
        <f>MONTH(A58)</f>
        <v>3</v>
      </c>
    </row>
    <row r="59" spans="1:6">
      <c r="A59" s="13">
        <v>45722</v>
      </c>
      <c r="B59" t="s">
        <v>35</v>
      </c>
      <c r="C59" t="s">
        <v>14</v>
      </c>
      <c r="D59" t="s">
        <v>8</v>
      </c>
      <c r="E59" s="5">
        <v>63.85</v>
      </c>
      <c r="F59">
        <f>MONTH(A59)</f>
        <v>3</v>
      </c>
    </row>
    <row r="60" spans="1:6">
      <c r="A60" s="13">
        <v>45723</v>
      </c>
      <c r="B60" t="s">
        <v>35</v>
      </c>
      <c r="C60" t="s">
        <v>14</v>
      </c>
      <c r="D60" t="s">
        <v>8</v>
      </c>
      <c r="E60" s="5">
        <v>117.43</v>
      </c>
      <c r="F60">
        <f>MONTH(A60)</f>
        <v>3</v>
      </c>
    </row>
    <row r="61" spans="1:6">
      <c r="A61" s="13">
        <v>45723</v>
      </c>
      <c r="B61" t="s">
        <v>45</v>
      </c>
      <c r="C61" t="s">
        <v>15</v>
      </c>
      <c r="D61" t="s">
        <v>8</v>
      </c>
      <c r="E61" s="5">
        <v>57.87</v>
      </c>
      <c r="F61">
        <f>MONTH(A61)</f>
        <v>3</v>
      </c>
    </row>
    <row r="62" spans="1:6">
      <c r="A62" s="13">
        <v>45724</v>
      </c>
      <c r="B62" t="s">
        <v>37</v>
      </c>
      <c r="C62" t="s">
        <v>10</v>
      </c>
      <c r="D62" t="s">
        <v>8</v>
      </c>
      <c r="E62" s="5">
        <v>53.77</v>
      </c>
      <c r="F62">
        <f>MONTH(A62)</f>
        <v>3</v>
      </c>
    </row>
    <row r="63" spans="1:6">
      <c r="A63" s="13">
        <v>45724</v>
      </c>
      <c r="B63" t="s">
        <v>48</v>
      </c>
      <c r="C63" t="s">
        <v>14</v>
      </c>
      <c r="D63" t="s">
        <v>8</v>
      </c>
      <c r="E63" s="5">
        <v>56.19</v>
      </c>
      <c r="F63">
        <f>MONTH(A63)</f>
        <v>3</v>
      </c>
    </row>
    <row r="64" spans="1:6">
      <c r="A64" s="13">
        <v>45725</v>
      </c>
      <c r="B64" t="s">
        <v>56</v>
      </c>
      <c r="C64" t="s">
        <v>17</v>
      </c>
      <c r="D64" t="s">
        <v>8</v>
      </c>
      <c r="E64" s="5">
        <v>80.37</v>
      </c>
      <c r="F64">
        <f>MONTH(A64)</f>
        <v>3</v>
      </c>
    </row>
    <row r="65" spans="1:6">
      <c r="A65" s="13">
        <v>45725</v>
      </c>
      <c r="B65" t="s">
        <v>33</v>
      </c>
      <c r="C65" t="s">
        <v>15</v>
      </c>
      <c r="D65" t="s">
        <v>8</v>
      </c>
      <c r="E65" s="5">
        <v>50.47</v>
      </c>
      <c r="F65">
        <f>MONTH(A65)</f>
        <v>3</v>
      </c>
    </row>
    <row r="66" spans="1:6">
      <c r="A66" s="13">
        <v>45726</v>
      </c>
      <c r="B66" t="s">
        <v>34</v>
      </c>
      <c r="C66" t="s">
        <v>16</v>
      </c>
      <c r="D66" t="s">
        <v>8</v>
      </c>
      <c r="E66" s="5">
        <v>35</v>
      </c>
      <c r="F66">
        <f>MONTH(A66)</f>
        <v>3</v>
      </c>
    </row>
    <row r="67" spans="1:6">
      <c r="A67" s="13">
        <v>45728</v>
      </c>
      <c r="B67" t="s">
        <v>53</v>
      </c>
      <c r="C67" t="s">
        <v>14</v>
      </c>
      <c r="D67" t="s">
        <v>8</v>
      </c>
      <c r="E67" s="5">
        <v>102.77</v>
      </c>
      <c r="F67">
        <f>MONTH(A67)</f>
        <v>3</v>
      </c>
    </row>
    <row r="68" spans="1:6">
      <c r="A68" s="13">
        <v>45730</v>
      </c>
      <c r="B68" t="s">
        <v>57</v>
      </c>
      <c r="C68" t="s">
        <v>18</v>
      </c>
      <c r="D68" t="s">
        <v>8</v>
      </c>
      <c r="E68" s="5">
        <v>32.94</v>
      </c>
      <c r="F68">
        <f>MONTH(A68)</f>
        <v>3</v>
      </c>
    </row>
    <row r="69" spans="1:6">
      <c r="A69" s="13">
        <v>45731</v>
      </c>
      <c r="B69" t="s">
        <v>39</v>
      </c>
      <c r="C69" t="s">
        <v>12</v>
      </c>
      <c r="D69" t="s">
        <v>8</v>
      </c>
      <c r="E69" s="5">
        <v>82.15000000000001</v>
      </c>
      <c r="F69">
        <f>MONTH(A69)</f>
        <v>3</v>
      </c>
    </row>
    <row r="70" spans="1:6">
      <c r="A70" s="13">
        <v>45732</v>
      </c>
      <c r="B70" t="s">
        <v>40</v>
      </c>
      <c r="C70" t="s">
        <v>17</v>
      </c>
      <c r="D70" t="s">
        <v>8</v>
      </c>
      <c r="E70" s="5">
        <v>35.26</v>
      </c>
      <c r="F70">
        <f>MONTH(A70)</f>
        <v>3</v>
      </c>
    </row>
    <row r="71" spans="1:6">
      <c r="A71" s="13">
        <v>45733</v>
      </c>
      <c r="B71" t="s">
        <v>58</v>
      </c>
      <c r="C71" t="s">
        <v>22</v>
      </c>
      <c r="D71" t="s">
        <v>8</v>
      </c>
      <c r="E71" s="5">
        <v>40.75</v>
      </c>
      <c r="F71">
        <f>MONTH(A71)</f>
        <v>3</v>
      </c>
    </row>
    <row r="72" spans="1:6">
      <c r="A72" s="13">
        <v>45734</v>
      </c>
      <c r="B72" t="s">
        <v>59</v>
      </c>
      <c r="C72" t="s">
        <v>16</v>
      </c>
      <c r="D72" t="s">
        <v>8</v>
      </c>
      <c r="E72" s="5">
        <v>420</v>
      </c>
      <c r="F72">
        <f>MONTH(A72)</f>
        <v>3</v>
      </c>
    </row>
    <row r="73" spans="1:6">
      <c r="A73" s="13">
        <v>45735</v>
      </c>
      <c r="B73" t="s">
        <v>35</v>
      </c>
      <c r="C73" t="s">
        <v>14</v>
      </c>
      <c r="D73" t="s">
        <v>8</v>
      </c>
      <c r="E73" s="5">
        <v>133.32</v>
      </c>
      <c r="F73">
        <f>MONTH(A73)</f>
        <v>3</v>
      </c>
    </row>
    <row r="74" spans="1:6">
      <c r="A74" s="13">
        <v>45736</v>
      </c>
      <c r="B74" t="s">
        <v>43</v>
      </c>
      <c r="C74" t="s">
        <v>11</v>
      </c>
      <c r="D74" t="s">
        <v>8</v>
      </c>
      <c r="E74" s="5">
        <v>54.32</v>
      </c>
      <c r="F74">
        <f>MONTH(A74)</f>
        <v>3</v>
      </c>
    </row>
    <row r="75" spans="1:6">
      <c r="A75" s="13">
        <v>45736</v>
      </c>
      <c r="B75" t="s">
        <v>56</v>
      </c>
      <c r="C75" t="s">
        <v>17</v>
      </c>
      <c r="D75" t="s">
        <v>8</v>
      </c>
      <c r="E75" s="5">
        <v>36.36</v>
      </c>
      <c r="F75">
        <f>MONTH(A75)</f>
        <v>3</v>
      </c>
    </row>
    <row r="76" spans="1:6">
      <c r="A76" s="13">
        <v>45736</v>
      </c>
      <c r="B76" t="s">
        <v>54</v>
      </c>
      <c r="C76" t="s">
        <v>15</v>
      </c>
      <c r="D76" t="s">
        <v>8</v>
      </c>
      <c r="E76" s="5">
        <v>33.92</v>
      </c>
      <c r="F76">
        <f>MONTH(A76)</f>
        <v>3</v>
      </c>
    </row>
    <row r="77" spans="1:6">
      <c r="A77" s="13">
        <v>45740</v>
      </c>
      <c r="B77" t="s">
        <v>28</v>
      </c>
      <c r="C77" t="s">
        <v>18</v>
      </c>
      <c r="D77" t="s">
        <v>8</v>
      </c>
      <c r="E77" s="5">
        <v>22.15</v>
      </c>
      <c r="F77">
        <f>MONTH(A77)</f>
        <v>3</v>
      </c>
    </row>
    <row r="78" spans="1:6">
      <c r="A78" s="13">
        <v>45743</v>
      </c>
      <c r="B78" t="s">
        <v>42</v>
      </c>
      <c r="C78" t="s">
        <v>6</v>
      </c>
      <c r="D78" t="s">
        <v>4</v>
      </c>
      <c r="E78" s="5">
        <v>171.3</v>
      </c>
      <c r="F78">
        <f>MONTH(A78)</f>
        <v>3</v>
      </c>
    </row>
    <row r="79" spans="1:6">
      <c r="A79" s="13">
        <v>45743</v>
      </c>
      <c r="B79" t="s">
        <v>47</v>
      </c>
      <c r="C79" t="s">
        <v>5</v>
      </c>
      <c r="D79" t="s">
        <v>4</v>
      </c>
      <c r="E79" s="5">
        <v>1980</v>
      </c>
      <c r="F79">
        <f>MONTH(A79)</f>
        <v>3</v>
      </c>
    </row>
    <row r="80" spans="1:6">
      <c r="A80" s="13">
        <v>45744</v>
      </c>
      <c r="B80" t="s">
        <v>49</v>
      </c>
      <c r="C80" t="s">
        <v>3</v>
      </c>
      <c r="D80" t="s">
        <v>4</v>
      </c>
      <c r="E80" s="5">
        <v>2450</v>
      </c>
      <c r="F80">
        <f>MONTH(A80)</f>
        <v>3</v>
      </c>
    </row>
    <row r="81" spans="1:6">
      <c r="A81" s="13">
        <v>45748</v>
      </c>
      <c r="B81" t="s">
        <v>27</v>
      </c>
      <c r="C81" t="s">
        <v>7</v>
      </c>
      <c r="D81" t="s">
        <v>8</v>
      </c>
      <c r="E81" s="5">
        <v>780</v>
      </c>
      <c r="F81">
        <f>MONTH(A81)</f>
        <v>4</v>
      </c>
    </row>
    <row r="82" spans="1:6">
      <c r="A82" s="13">
        <v>45748</v>
      </c>
      <c r="B82" t="s">
        <v>38</v>
      </c>
      <c r="C82" t="s">
        <v>14</v>
      </c>
      <c r="D82" t="s">
        <v>8</v>
      </c>
      <c r="E82" s="5">
        <v>138.78</v>
      </c>
      <c r="F82">
        <f>MONTH(A82)</f>
        <v>4</v>
      </c>
    </row>
    <row r="83" spans="1:6">
      <c r="A83" s="13">
        <v>45748</v>
      </c>
      <c r="B83" t="s">
        <v>48</v>
      </c>
      <c r="C83" t="s">
        <v>14</v>
      </c>
      <c r="D83" t="s">
        <v>8</v>
      </c>
      <c r="E83" s="5">
        <v>104.52</v>
      </c>
      <c r="F83">
        <f>MONTH(A83)</f>
        <v>4</v>
      </c>
    </row>
    <row r="84" spans="1:6">
      <c r="A84" s="13">
        <v>45749</v>
      </c>
      <c r="B84" t="s">
        <v>29</v>
      </c>
      <c r="C84" t="s">
        <v>21</v>
      </c>
      <c r="D84" t="s">
        <v>8</v>
      </c>
      <c r="E84" s="5">
        <v>60</v>
      </c>
      <c r="F84">
        <f>MONTH(A84)</f>
        <v>4</v>
      </c>
    </row>
    <row r="85" spans="1:6">
      <c r="A85" s="13">
        <v>45750</v>
      </c>
      <c r="B85" t="s">
        <v>30</v>
      </c>
      <c r="C85" t="s">
        <v>13</v>
      </c>
      <c r="D85" t="s">
        <v>8</v>
      </c>
      <c r="E85" s="5">
        <v>59.9</v>
      </c>
      <c r="F85">
        <f>MONTH(A85)</f>
        <v>4</v>
      </c>
    </row>
    <row r="86" spans="1:6">
      <c r="A86" s="13">
        <v>45750</v>
      </c>
      <c r="B86" t="s">
        <v>54</v>
      </c>
      <c r="C86" t="s">
        <v>15</v>
      </c>
      <c r="D86" t="s">
        <v>8</v>
      </c>
      <c r="E86" s="5">
        <v>35.56</v>
      </c>
      <c r="F86">
        <f>MONTH(A86)</f>
        <v>4</v>
      </c>
    </row>
    <row r="87" spans="1:6">
      <c r="A87" s="13">
        <v>45750</v>
      </c>
      <c r="B87" t="s">
        <v>60</v>
      </c>
      <c r="C87" t="s">
        <v>15</v>
      </c>
      <c r="D87" t="s">
        <v>8</v>
      </c>
      <c r="E87" s="5">
        <v>28.58</v>
      </c>
      <c r="F87">
        <f>MONTH(A87)</f>
        <v>4</v>
      </c>
    </row>
    <row r="88" spans="1:6">
      <c r="A88" s="13">
        <v>45751</v>
      </c>
      <c r="B88" t="s">
        <v>61</v>
      </c>
      <c r="C88" t="s">
        <v>19</v>
      </c>
      <c r="D88" t="s">
        <v>8</v>
      </c>
      <c r="E88" s="5">
        <v>125.58</v>
      </c>
      <c r="F88">
        <f>MONTH(A88)</f>
        <v>4</v>
      </c>
    </row>
    <row r="89" spans="1:6">
      <c r="A89" s="13">
        <v>45752</v>
      </c>
      <c r="B89" t="s">
        <v>32</v>
      </c>
      <c r="C89" t="s">
        <v>9</v>
      </c>
      <c r="D89" t="s">
        <v>8</v>
      </c>
      <c r="E89" s="5">
        <v>65</v>
      </c>
      <c r="F89">
        <f>MONTH(A89)</f>
        <v>4</v>
      </c>
    </row>
    <row r="90" spans="1:6">
      <c r="A90" s="13">
        <v>45752</v>
      </c>
      <c r="B90" t="s">
        <v>48</v>
      </c>
      <c r="C90" t="s">
        <v>14</v>
      </c>
      <c r="D90" t="s">
        <v>8</v>
      </c>
      <c r="E90" s="5">
        <v>29.39</v>
      </c>
      <c r="F90">
        <f>MONTH(A90)</f>
        <v>4</v>
      </c>
    </row>
    <row r="91" spans="1:6">
      <c r="A91" s="13">
        <v>45755</v>
      </c>
      <c r="B91" t="s">
        <v>37</v>
      </c>
      <c r="C91" t="s">
        <v>10</v>
      </c>
      <c r="D91" t="s">
        <v>8</v>
      </c>
      <c r="E91" s="5">
        <v>71.18000000000001</v>
      </c>
      <c r="F91">
        <f>MONTH(A91)</f>
        <v>4</v>
      </c>
    </row>
    <row r="92" spans="1:6">
      <c r="A92" s="13">
        <v>45757</v>
      </c>
      <c r="B92" t="s">
        <v>34</v>
      </c>
      <c r="C92" t="s">
        <v>16</v>
      </c>
      <c r="D92" t="s">
        <v>8</v>
      </c>
      <c r="E92" s="5">
        <v>35</v>
      </c>
      <c r="F92">
        <f>MONTH(A92)</f>
        <v>4</v>
      </c>
    </row>
    <row r="93" spans="1:6">
      <c r="A93" s="13">
        <v>45759</v>
      </c>
      <c r="B93" t="s">
        <v>54</v>
      </c>
      <c r="C93" t="s">
        <v>15</v>
      </c>
      <c r="D93" t="s">
        <v>8</v>
      </c>
      <c r="E93" s="5">
        <v>58.81</v>
      </c>
      <c r="F93">
        <f>MONTH(A93)</f>
        <v>4</v>
      </c>
    </row>
    <row r="94" spans="1:6">
      <c r="A94" s="13">
        <v>45760</v>
      </c>
      <c r="B94" t="s">
        <v>57</v>
      </c>
      <c r="C94" t="s">
        <v>18</v>
      </c>
      <c r="D94" t="s">
        <v>8</v>
      </c>
      <c r="E94" s="5">
        <v>52.96</v>
      </c>
      <c r="F94">
        <f>MONTH(A94)</f>
        <v>4</v>
      </c>
    </row>
    <row r="95" spans="1:6">
      <c r="A95" s="13">
        <v>45762</v>
      </c>
      <c r="B95" t="s">
        <v>39</v>
      </c>
      <c r="C95" t="s">
        <v>12</v>
      </c>
      <c r="D95" t="s">
        <v>8</v>
      </c>
      <c r="E95" s="5">
        <v>33.15</v>
      </c>
      <c r="F95">
        <f>MONTH(A95)</f>
        <v>4</v>
      </c>
    </row>
    <row r="96" spans="1:6">
      <c r="A96" s="13">
        <v>45762</v>
      </c>
      <c r="B96" t="s">
        <v>62</v>
      </c>
      <c r="C96" t="s">
        <v>20</v>
      </c>
      <c r="D96" t="s">
        <v>8</v>
      </c>
      <c r="E96" s="5">
        <v>16.21</v>
      </c>
      <c r="F96">
        <f>MONTH(A96)</f>
        <v>4</v>
      </c>
    </row>
    <row r="97" spans="1:6">
      <c r="A97" s="13">
        <v>45766</v>
      </c>
      <c r="B97" t="s">
        <v>28</v>
      </c>
      <c r="C97" t="s">
        <v>18</v>
      </c>
      <c r="D97" t="s">
        <v>8</v>
      </c>
      <c r="E97" s="5">
        <v>55.5</v>
      </c>
      <c r="F97">
        <f>MONTH(A97)</f>
        <v>4</v>
      </c>
    </row>
    <row r="98" spans="1:6">
      <c r="A98" s="13">
        <v>45767</v>
      </c>
      <c r="B98" t="s">
        <v>28</v>
      </c>
      <c r="C98" t="s">
        <v>18</v>
      </c>
      <c r="D98" t="s">
        <v>8</v>
      </c>
      <c r="E98" s="5">
        <v>22.81</v>
      </c>
      <c r="F98">
        <f>MONTH(A98)</f>
        <v>4</v>
      </c>
    </row>
    <row r="99" spans="1:6">
      <c r="A99" s="13">
        <v>45769</v>
      </c>
      <c r="B99" t="s">
        <v>56</v>
      </c>
      <c r="C99" t="s">
        <v>17</v>
      </c>
      <c r="D99" t="s">
        <v>8</v>
      </c>
      <c r="E99" s="5">
        <v>86.77</v>
      </c>
      <c r="F99">
        <f>MONTH(A99)</f>
        <v>4</v>
      </c>
    </row>
    <row r="100" spans="1:6">
      <c r="A100" s="13">
        <v>45769</v>
      </c>
      <c r="B100" t="s">
        <v>48</v>
      </c>
      <c r="C100" t="s">
        <v>14</v>
      </c>
      <c r="D100" t="s">
        <v>8</v>
      </c>
      <c r="E100" s="5">
        <v>98.06</v>
      </c>
      <c r="F100">
        <f>MONTH(A100)</f>
        <v>4</v>
      </c>
    </row>
    <row r="101" spans="1:6">
      <c r="A101" s="13">
        <v>45770</v>
      </c>
      <c r="B101" t="s">
        <v>62</v>
      </c>
      <c r="C101" t="s">
        <v>20</v>
      </c>
      <c r="D101" t="s">
        <v>8</v>
      </c>
      <c r="E101" s="5">
        <v>48.37</v>
      </c>
      <c r="F101">
        <f>MONTH(A101)</f>
        <v>4</v>
      </c>
    </row>
    <row r="102" spans="1:6">
      <c r="A102" s="13">
        <v>45770</v>
      </c>
      <c r="B102" t="s">
        <v>53</v>
      </c>
      <c r="C102" t="s">
        <v>14</v>
      </c>
      <c r="D102" t="s">
        <v>8</v>
      </c>
      <c r="E102" s="5">
        <v>145.35</v>
      </c>
      <c r="F102">
        <f>MONTH(A102)</f>
        <v>4</v>
      </c>
    </row>
    <row r="103" spans="1:6">
      <c r="A103" s="13">
        <v>45771</v>
      </c>
      <c r="B103" t="s">
        <v>61</v>
      </c>
      <c r="C103" t="s">
        <v>19</v>
      </c>
      <c r="D103" t="s">
        <v>8</v>
      </c>
      <c r="E103" s="5">
        <v>66.61</v>
      </c>
      <c r="F103">
        <f>MONTH(A103)</f>
        <v>4</v>
      </c>
    </row>
    <row r="104" spans="1:6">
      <c r="A104" s="13">
        <v>45773</v>
      </c>
      <c r="B104" t="s">
        <v>51</v>
      </c>
      <c r="C104" t="s">
        <v>17</v>
      </c>
      <c r="D104" t="s">
        <v>8</v>
      </c>
      <c r="E104" s="5">
        <v>41.2</v>
      </c>
      <c r="F104">
        <f>MONTH(A104)</f>
        <v>4</v>
      </c>
    </row>
    <row r="105" spans="1:6">
      <c r="A105" s="13">
        <v>45773</v>
      </c>
      <c r="B105" t="s">
        <v>28</v>
      </c>
      <c r="C105" t="s">
        <v>18</v>
      </c>
      <c r="D105" t="s">
        <v>8</v>
      </c>
      <c r="E105" s="5">
        <v>69.81</v>
      </c>
      <c r="F105">
        <f>MONTH(A105)</f>
        <v>4</v>
      </c>
    </row>
    <row r="106" spans="1:6">
      <c r="A106" s="13">
        <v>45774</v>
      </c>
      <c r="B106" t="s">
        <v>47</v>
      </c>
      <c r="C106" t="s">
        <v>5</v>
      </c>
      <c r="D106" t="s">
        <v>4</v>
      </c>
      <c r="E106" s="5">
        <v>1980</v>
      </c>
      <c r="F106">
        <f>MONTH(A106)</f>
        <v>4</v>
      </c>
    </row>
    <row r="107" spans="1:6">
      <c r="A107" s="13">
        <v>45775</v>
      </c>
      <c r="B107" t="s">
        <v>49</v>
      </c>
      <c r="C107" t="s">
        <v>3</v>
      </c>
      <c r="D107" t="s">
        <v>4</v>
      </c>
      <c r="E107" s="5">
        <v>2450</v>
      </c>
      <c r="F107">
        <f>MONTH(A107)</f>
        <v>4</v>
      </c>
    </row>
    <row r="108" spans="1:6">
      <c r="A108" s="13">
        <v>45778</v>
      </c>
      <c r="B108" t="s">
        <v>27</v>
      </c>
      <c r="C108" t="s">
        <v>7</v>
      </c>
      <c r="D108" t="s">
        <v>8</v>
      </c>
      <c r="E108" s="5">
        <v>780</v>
      </c>
      <c r="F108">
        <f>MONTH(A108)</f>
        <v>5</v>
      </c>
    </row>
    <row r="109" spans="1:6">
      <c r="A109" s="13">
        <v>45778</v>
      </c>
      <c r="B109" t="s">
        <v>62</v>
      </c>
      <c r="C109" t="s">
        <v>20</v>
      </c>
      <c r="D109" t="s">
        <v>8</v>
      </c>
      <c r="E109" s="5">
        <v>20.69</v>
      </c>
      <c r="F109">
        <f>MONTH(A109)</f>
        <v>5</v>
      </c>
    </row>
    <row r="110" spans="1:6">
      <c r="A110" s="13">
        <v>45778</v>
      </c>
      <c r="B110" t="s">
        <v>53</v>
      </c>
      <c r="C110" t="s">
        <v>14</v>
      </c>
      <c r="D110" t="s">
        <v>8</v>
      </c>
      <c r="E110" s="5">
        <v>62.63</v>
      </c>
      <c r="F110">
        <f>MONTH(A110)</f>
        <v>5</v>
      </c>
    </row>
    <row r="111" spans="1:6">
      <c r="A111" s="13">
        <v>45779</v>
      </c>
      <c r="B111" t="s">
        <v>29</v>
      </c>
      <c r="C111" t="s">
        <v>21</v>
      </c>
      <c r="D111" t="s">
        <v>8</v>
      </c>
      <c r="E111" s="5">
        <v>60</v>
      </c>
      <c r="F111">
        <f>MONTH(A111)</f>
        <v>5</v>
      </c>
    </row>
    <row r="112" spans="1:6">
      <c r="A112" s="13">
        <v>45779</v>
      </c>
      <c r="B112" t="s">
        <v>55</v>
      </c>
      <c r="C112" t="s">
        <v>19</v>
      </c>
      <c r="D112" t="s">
        <v>8</v>
      </c>
      <c r="E112" s="5">
        <v>105.04</v>
      </c>
      <c r="F112">
        <f>MONTH(A112)</f>
        <v>5</v>
      </c>
    </row>
    <row r="113" spans="1:6">
      <c r="A113" s="13">
        <v>45780</v>
      </c>
      <c r="B113" t="s">
        <v>30</v>
      </c>
      <c r="C113" t="s">
        <v>13</v>
      </c>
      <c r="D113" t="s">
        <v>8</v>
      </c>
      <c r="E113" s="5">
        <v>59.9</v>
      </c>
      <c r="F113">
        <f>MONTH(A113)</f>
        <v>5</v>
      </c>
    </row>
    <row r="114" spans="1:6">
      <c r="A114" s="13">
        <v>45781</v>
      </c>
      <c r="B114" t="s">
        <v>38</v>
      </c>
      <c r="C114" t="s">
        <v>14</v>
      </c>
      <c r="D114" t="s">
        <v>8</v>
      </c>
      <c r="E114" s="5">
        <v>122.49</v>
      </c>
      <c r="F114">
        <f>MONTH(A114)</f>
        <v>5</v>
      </c>
    </row>
    <row r="115" spans="1:6">
      <c r="A115" s="13">
        <v>45782</v>
      </c>
      <c r="B115" t="s">
        <v>32</v>
      </c>
      <c r="C115" t="s">
        <v>9</v>
      </c>
      <c r="D115" t="s">
        <v>8</v>
      </c>
      <c r="E115" s="5">
        <v>65</v>
      </c>
      <c r="F115">
        <f>MONTH(A115)</f>
        <v>5</v>
      </c>
    </row>
    <row r="116" spans="1:6">
      <c r="A116" s="13">
        <v>45783</v>
      </c>
      <c r="B116" t="s">
        <v>53</v>
      </c>
      <c r="C116" t="s">
        <v>14</v>
      </c>
      <c r="D116" t="s">
        <v>8</v>
      </c>
      <c r="E116" s="5">
        <v>107.5</v>
      </c>
      <c r="F116">
        <f>MONTH(A116)</f>
        <v>5</v>
      </c>
    </row>
    <row r="117" spans="1:6">
      <c r="A117" s="13">
        <v>45784</v>
      </c>
      <c r="B117" t="s">
        <v>41</v>
      </c>
      <c r="C117" t="s">
        <v>17</v>
      </c>
      <c r="D117" t="s">
        <v>8</v>
      </c>
      <c r="E117" s="5">
        <v>23.17</v>
      </c>
      <c r="F117">
        <f>MONTH(A117)</f>
        <v>5</v>
      </c>
    </row>
    <row r="118" spans="1:6">
      <c r="A118" s="13">
        <v>45786</v>
      </c>
      <c r="B118" t="s">
        <v>41</v>
      </c>
      <c r="C118" t="s">
        <v>17</v>
      </c>
      <c r="D118" t="s">
        <v>8</v>
      </c>
      <c r="E118" s="5">
        <v>21.36</v>
      </c>
      <c r="F118">
        <f>MONTH(A118)</f>
        <v>5</v>
      </c>
    </row>
    <row r="119" spans="1:6">
      <c r="A119" s="13">
        <v>45786</v>
      </c>
      <c r="B119" t="s">
        <v>36</v>
      </c>
      <c r="C119" t="s">
        <v>18</v>
      </c>
      <c r="D119" t="s">
        <v>8</v>
      </c>
      <c r="E119" s="5">
        <v>67.84999999999999</v>
      </c>
      <c r="F119">
        <f>MONTH(A119)</f>
        <v>5</v>
      </c>
    </row>
    <row r="120" spans="1:6">
      <c r="A120" s="13">
        <v>45787</v>
      </c>
      <c r="B120" t="s">
        <v>37</v>
      </c>
      <c r="C120" t="s">
        <v>10</v>
      </c>
      <c r="D120" t="s">
        <v>8</v>
      </c>
      <c r="E120" s="5">
        <v>86.48</v>
      </c>
      <c r="F120">
        <f>MONTH(A120)</f>
        <v>5</v>
      </c>
    </row>
    <row r="121" spans="1:6">
      <c r="A121" s="13">
        <v>45787</v>
      </c>
      <c r="B121" t="s">
        <v>34</v>
      </c>
      <c r="C121" t="s">
        <v>16</v>
      </c>
      <c r="D121" t="s">
        <v>8</v>
      </c>
      <c r="E121" s="5">
        <v>35</v>
      </c>
      <c r="F121">
        <f>MONTH(A121)</f>
        <v>5</v>
      </c>
    </row>
    <row r="122" spans="1:6">
      <c r="A122" s="13">
        <v>45789</v>
      </c>
      <c r="B122" t="s">
        <v>40</v>
      </c>
      <c r="C122" t="s">
        <v>17</v>
      </c>
      <c r="D122" t="s">
        <v>8</v>
      </c>
      <c r="E122" s="5">
        <v>71.03</v>
      </c>
      <c r="F122">
        <f>MONTH(A122)</f>
        <v>5</v>
      </c>
    </row>
    <row r="123" spans="1:6">
      <c r="A123" s="13">
        <v>45790</v>
      </c>
      <c r="B123" t="s">
        <v>57</v>
      </c>
      <c r="C123" t="s">
        <v>18</v>
      </c>
      <c r="D123" t="s">
        <v>8</v>
      </c>
      <c r="E123" s="5">
        <v>58.33</v>
      </c>
      <c r="F123">
        <f>MONTH(A123)</f>
        <v>5</v>
      </c>
    </row>
    <row r="124" spans="1:6">
      <c r="A124" s="13">
        <v>45790</v>
      </c>
      <c r="B124" t="s">
        <v>60</v>
      </c>
      <c r="C124" t="s">
        <v>15</v>
      </c>
      <c r="D124" t="s">
        <v>8</v>
      </c>
      <c r="E124" s="5">
        <v>22.32</v>
      </c>
      <c r="F124">
        <f>MONTH(A124)</f>
        <v>5</v>
      </c>
    </row>
    <row r="125" spans="1:6">
      <c r="A125" s="13">
        <v>45790</v>
      </c>
      <c r="B125" t="s">
        <v>33</v>
      </c>
      <c r="C125" t="s">
        <v>15</v>
      </c>
      <c r="D125" t="s">
        <v>8</v>
      </c>
      <c r="E125" s="5">
        <v>42.32</v>
      </c>
      <c r="F125">
        <f>MONTH(A125)</f>
        <v>5</v>
      </c>
    </row>
    <row r="126" spans="1:6">
      <c r="A126" s="13">
        <v>45791</v>
      </c>
      <c r="B126" t="s">
        <v>33</v>
      </c>
      <c r="C126" t="s">
        <v>15</v>
      </c>
      <c r="D126" t="s">
        <v>8</v>
      </c>
      <c r="E126" s="5">
        <v>57.77</v>
      </c>
      <c r="F126">
        <f>MONTH(A126)</f>
        <v>5</v>
      </c>
    </row>
    <row r="127" spans="1:6">
      <c r="A127" s="13">
        <v>45792</v>
      </c>
      <c r="B127" t="s">
        <v>39</v>
      </c>
      <c r="C127" t="s">
        <v>12</v>
      </c>
      <c r="D127" t="s">
        <v>8</v>
      </c>
      <c r="E127" s="5">
        <v>21.91</v>
      </c>
      <c r="F127">
        <f>MONTH(A127)</f>
        <v>5</v>
      </c>
    </row>
    <row r="128" spans="1:6">
      <c r="A128" s="13">
        <v>45792</v>
      </c>
      <c r="B128" t="s">
        <v>63</v>
      </c>
      <c r="C128" t="s">
        <v>20</v>
      </c>
      <c r="D128" t="s">
        <v>8</v>
      </c>
      <c r="E128" s="5">
        <v>11.13</v>
      </c>
      <c r="F128">
        <f>MONTH(A128)</f>
        <v>5</v>
      </c>
    </row>
    <row r="129" spans="1:6">
      <c r="A129" s="13">
        <v>45792</v>
      </c>
      <c r="B129" t="s">
        <v>38</v>
      </c>
      <c r="C129" t="s">
        <v>14</v>
      </c>
      <c r="D129" t="s">
        <v>8</v>
      </c>
      <c r="E129" s="5">
        <v>136.47</v>
      </c>
      <c r="F129">
        <f>MONTH(A129)</f>
        <v>5</v>
      </c>
    </row>
    <row r="130" spans="1:6">
      <c r="A130" s="13">
        <v>45796</v>
      </c>
      <c r="B130" t="s">
        <v>61</v>
      </c>
      <c r="C130" t="s">
        <v>19</v>
      </c>
      <c r="D130" t="s">
        <v>8</v>
      </c>
      <c r="E130" s="5">
        <v>57.08</v>
      </c>
      <c r="F130">
        <f>MONTH(A130)</f>
        <v>5</v>
      </c>
    </row>
    <row r="131" spans="1:6">
      <c r="A131" s="13">
        <v>45797</v>
      </c>
      <c r="B131" t="s">
        <v>43</v>
      </c>
      <c r="C131" t="s">
        <v>11</v>
      </c>
      <c r="D131" t="s">
        <v>8</v>
      </c>
      <c r="E131" s="5">
        <v>51.47</v>
      </c>
      <c r="F131">
        <f>MONTH(A131)</f>
        <v>5</v>
      </c>
    </row>
    <row r="132" spans="1:6">
      <c r="A132" s="13">
        <v>45799</v>
      </c>
      <c r="B132" t="s">
        <v>38</v>
      </c>
      <c r="C132" t="s">
        <v>14</v>
      </c>
      <c r="D132" t="s">
        <v>8</v>
      </c>
      <c r="E132" s="5">
        <v>56.98</v>
      </c>
      <c r="F132">
        <f>MONTH(A132)</f>
        <v>5</v>
      </c>
    </row>
    <row r="133" spans="1:6">
      <c r="A133" s="13">
        <v>45799</v>
      </c>
      <c r="B133" t="s">
        <v>48</v>
      </c>
      <c r="C133" t="s">
        <v>14</v>
      </c>
      <c r="D133" t="s">
        <v>8</v>
      </c>
      <c r="E133" s="5">
        <v>50.32</v>
      </c>
      <c r="F133">
        <f>MONTH(A133)</f>
        <v>5</v>
      </c>
    </row>
    <row r="134" spans="1:6">
      <c r="A134" s="13">
        <v>45800</v>
      </c>
      <c r="B134" t="s">
        <v>57</v>
      </c>
      <c r="C134" t="s">
        <v>18</v>
      </c>
      <c r="D134" t="s">
        <v>8</v>
      </c>
      <c r="E134" s="5">
        <v>37.22</v>
      </c>
      <c r="F134">
        <f>MONTH(A134)</f>
        <v>5</v>
      </c>
    </row>
    <row r="135" spans="1:6">
      <c r="A135" s="13">
        <v>45804</v>
      </c>
      <c r="B135" t="s">
        <v>47</v>
      </c>
      <c r="C135" t="s">
        <v>5</v>
      </c>
      <c r="D135" t="s">
        <v>4</v>
      </c>
      <c r="E135" s="5">
        <v>1980</v>
      </c>
      <c r="F135">
        <f>MONTH(A135)</f>
        <v>5</v>
      </c>
    </row>
    <row r="136" spans="1:6">
      <c r="A136" s="13">
        <v>45804</v>
      </c>
      <c r="B136" t="s">
        <v>28</v>
      </c>
      <c r="C136" t="s">
        <v>18</v>
      </c>
      <c r="D136" t="s">
        <v>8</v>
      </c>
      <c r="E136" s="5">
        <v>34.69</v>
      </c>
      <c r="F136">
        <f>MONTH(A136)</f>
        <v>5</v>
      </c>
    </row>
    <row r="137" spans="1:6">
      <c r="A137" s="13">
        <v>45805</v>
      </c>
      <c r="B137" t="s">
        <v>49</v>
      </c>
      <c r="C137" t="s">
        <v>3</v>
      </c>
      <c r="D137" t="s">
        <v>4</v>
      </c>
      <c r="E137" s="5">
        <v>2450</v>
      </c>
      <c r="F137">
        <f>MONTH(A137)</f>
        <v>5</v>
      </c>
    </row>
    <row r="138" spans="1:6">
      <c r="A138" s="13">
        <v>45809</v>
      </c>
      <c r="B138" t="s">
        <v>27</v>
      </c>
      <c r="C138" t="s">
        <v>7</v>
      </c>
      <c r="D138" t="s">
        <v>8</v>
      </c>
      <c r="E138" s="5">
        <v>780</v>
      </c>
      <c r="F138">
        <f>MONTH(A138)</f>
        <v>6</v>
      </c>
    </row>
    <row r="139" spans="1:6">
      <c r="A139" s="13">
        <v>45810</v>
      </c>
      <c r="B139" t="s">
        <v>29</v>
      </c>
      <c r="C139" t="s">
        <v>21</v>
      </c>
      <c r="D139" t="s">
        <v>8</v>
      </c>
      <c r="E139" s="5">
        <v>60</v>
      </c>
      <c r="F139">
        <f>MONTH(A139)</f>
        <v>6</v>
      </c>
    </row>
    <row r="140" spans="1:6">
      <c r="A140" s="13">
        <v>45810</v>
      </c>
      <c r="B140" t="s">
        <v>33</v>
      </c>
      <c r="C140" t="s">
        <v>15</v>
      </c>
      <c r="D140" t="s">
        <v>8</v>
      </c>
      <c r="E140" s="5">
        <v>23.78</v>
      </c>
      <c r="F140">
        <f>MONTH(A140)</f>
        <v>6</v>
      </c>
    </row>
    <row r="141" spans="1:6">
      <c r="A141" s="13">
        <v>45811</v>
      </c>
      <c r="B141" t="s">
        <v>30</v>
      </c>
      <c r="C141" t="s">
        <v>13</v>
      </c>
      <c r="D141" t="s">
        <v>8</v>
      </c>
      <c r="E141" s="5">
        <v>59.9</v>
      </c>
      <c r="F141">
        <f>MONTH(A141)</f>
        <v>6</v>
      </c>
    </row>
    <row r="142" spans="1:6">
      <c r="A142" s="13">
        <v>45811</v>
      </c>
      <c r="B142" t="s">
        <v>61</v>
      </c>
      <c r="C142" t="s">
        <v>19</v>
      </c>
      <c r="D142" t="s">
        <v>8</v>
      </c>
      <c r="E142" s="5">
        <v>84.43000000000001</v>
      </c>
      <c r="F142">
        <f>MONTH(A142)</f>
        <v>6</v>
      </c>
    </row>
    <row r="143" spans="1:6">
      <c r="A143" s="13">
        <v>45813</v>
      </c>
      <c r="B143" t="s">
        <v>32</v>
      </c>
      <c r="C143" t="s">
        <v>9</v>
      </c>
      <c r="D143" t="s">
        <v>8</v>
      </c>
      <c r="E143" s="5">
        <v>65</v>
      </c>
      <c r="F143">
        <f>MONTH(A143)</f>
        <v>6</v>
      </c>
    </row>
    <row r="144" spans="1:6">
      <c r="A144" s="13">
        <v>45815</v>
      </c>
      <c r="B144" t="s">
        <v>28</v>
      </c>
      <c r="C144" t="s">
        <v>18</v>
      </c>
      <c r="D144" t="s">
        <v>8</v>
      </c>
      <c r="E144" s="5">
        <v>40.61</v>
      </c>
      <c r="F144">
        <f>MONTH(A144)</f>
        <v>6</v>
      </c>
    </row>
    <row r="145" spans="1:6">
      <c r="A145" s="13">
        <v>45817</v>
      </c>
      <c r="B145" t="s">
        <v>37</v>
      </c>
      <c r="C145" t="s">
        <v>10</v>
      </c>
      <c r="D145" t="s">
        <v>8</v>
      </c>
      <c r="E145" s="5">
        <v>99</v>
      </c>
      <c r="F145">
        <f>MONTH(A145)</f>
        <v>6</v>
      </c>
    </row>
    <row r="146" spans="1:6">
      <c r="A146" s="13">
        <v>45817</v>
      </c>
      <c r="B146" t="s">
        <v>62</v>
      </c>
      <c r="C146" t="s">
        <v>20</v>
      </c>
      <c r="D146" t="s">
        <v>8</v>
      </c>
      <c r="E146" s="5">
        <v>82.59999999999999</v>
      </c>
      <c r="F146">
        <f>MONTH(A146)</f>
        <v>6</v>
      </c>
    </row>
    <row r="147" spans="1:6">
      <c r="A147" s="13">
        <v>45818</v>
      </c>
      <c r="B147" t="s">
        <v>34</v>
      </c>
      <c r="C147" t="s">
        <v>16</v>
      </c>
      <c r="D147" t="s">
        <v>8</v>
      </c>
      <c r="E147" s="5">
        <v>35</v>
      </c>
      <c r="F147">
        <f>MONTH(A147)</f>
        <v>6</v>
      </c>
    </row>
    <row r="148" spans="1:6">
      <c r="A148" s="13">
        <v>45823</v>
      </c>
      <c r="B148" t="s">
        <v>39</v>
      </c>
      <c r="C148" t="s">
        <v>12</v>
      </c>
      <c r="D148" t="s">
        <v>8</v>
      </c>
      <c r="E148" s="5">
        <v>34.73</v>
      </c>
      <c r="F148">
        <f>MONTH(A148)</f>
        <v>6</v>
      </c>
    </row>
    <row r="149" spans="1:6">
      <c r="A149" s="13">
        <v>45823</v>
      </c>
      <c r="B149" t="s">
        <v>46</v>
      </c>
      <c r="C149" t="s">
        <v>14</v>
      </c>
      <c r="D149" t="s">
        <v>8</v>
      </c>
      <c r="E149" s="5">
        <v>103.75</v>
      </c>
      <c r="F149">
        <f>MONTH(A149)</f>
        <v>6</v>
      </c>
    </row>
    <row r="150" spans="1:6">
      <c r="A150" s="13">
        <v>45824</v>
      </c>
      <c r="B150" t="s">
        <v>53</v>
      </c>
      <c r="C150" t="s">
        <v>14</v>
      </c>
      <c r="D150" t="s">
        <v>8</v>
      </c>
      <c r="E150" s="5">
        <v>47.34</v>
      </c>
      <c r="F150">
        <f>MONTH(A150)</f>
        <v>6</v>
      </c>
    </row>
    <row r="151" spans="1:6">
      <c r="A151" s="13">
        <v>45826</v>
      </c>
      <c r="B151" t="s">
        <v>41</v>
      </c>
      <c r="C151" t="s">
        <v>17</v>
      </c>
      <c r="D151" t="s">
        <v>8</v>
      </c>
      <c r="E151" s="5">
        <v>44.66</v>
      </c>
      <c r="F151">
        <f>MONTH(A151)</f>
        <v>6</v>
      </c>
    </row>
    <row r="152" spans="1:6">
      <c r="A152" s="13">
        <v>45827</v>
      </c>
      <c r="B152" t="s">
        <v>44</v>
      </c>
      <c r="C152" t="s">
        <v>18</v>
      </c>
      <c r="D152" t="s">
        <v>8</v>
      </c>
      <c r="E152" s="5">
        <v>45.82</v>
      </c>
      <c r="F152">
        <f>MONTH(A152)</f>
        <v>6</v>
      </c>
    </row>
    <row r="153" spans="1:6">
      <c r="A153" s="13">
        <v>45829</v>
      </c>
      <c r="B153" t="s">
        <v>36</v>
      </c>
      <c r="C153" t="s">
        <v>18</v>
      </c>
      <c r="D153" t="s">
        <v>8</v>
      </c>
      <c r="E153" s="5">
        <v>23.94</v>
      </c>
      <c r="F153">
        <f>MONTH(A153)</f>
        <v>6</v>
      </c>
    </row>
    <row r="154" spans="1:6">
      <c r="A154" s="13">
        <v>45829</v>
      </c>
      <c r="B154" t="s">
        <v>53</v>
      </c>
      <c r="C154" t="s">
        <v>14</v>
      </c>
      <c r="D154" t="s">
        <v>8</v>
      </c>
      <c r="E154" s="5">
        <v>144.81</v>
      </c>
      <c r="F154">
        <f>MONTH(A154)</f>
        <v>6</v>
      </c>
    </row>
    <row r="155" spans="1:6">
      <c r="A155" s="13">
        <v>45830</v>
      </c>
      <c r="B155" t="s">
        <v>35</v>
      </c>
      <c r="C155" t="s">
        <v>14</v>
      </c>
      <c r="D155" t="s">
        <v>8</v>
      </c>
      <c r="E155" s="5">
        <v>49.92</v>
      </c>
      <c r="F155">
        <f>MONTH(A155)</f>
        <v>6</v>
      </c>
    </row>
    <row r="156" spans="1:6">
      <c r="A156" s="13">
        <v>45832</v>
      </c>
      <c r="B156" t="s">
        <v>56</v>
      </c>
      <c r="C156" t="s">
        <v>17</v>
      </c>
      <c r="D156" t="s">
        <v>8</v>
      </c>
      <c r="E156" s="5">
        <v>22.78</v>
      </c>
      <c r="F156">
        <f>MONTH(A156)</f>
        <v>6</v>
      </c>
    </row>
    <row r="157" spans="1:6">
      <c r="A157" s="13">
        <v>45833</v>
      </c>
      <c r="B157" t="s">
        <v>45</v>
      </c>
      <c r="C157" t="s">
        <v>15</v>
      </c>
      <c r="D157" t="s">
        <v>8</v>
      </c>
      <c r="E157" s="5">
        <v>39.81</v>
      </c>
      <c r="F157">
        <f>MONTH(A157)</f>
        <v>6</v>
      </c>
    </row>
    <row r="158" spans="1:6">
      <c r="A158" s="13">
        <v>45834</v>
      </c>
      <c r="B158" t="s">
        <v>41</v>
      </c>
      <c r="C158" t="s">
        <v>17</v>
      </c>
      <c r="D158" t="s">
        <v>8</v>
      </c>
      <c r="E158" s="5">
        <v>19.24</v>
      </c>
      <c r="F158">
        <f>MONTH(A158)</f>
        <v>6</v>
      </c>
    </row>
    <row r="159" spans="1:6">
      <c r="A159" s="13">
        <v>45835</v>
      </c>
      <c r="B159" t="s">
        <v>47</v>
      </c>
      <c r="C159" t="s">
        <v>5</v>
      </c>
      <c r="D159" t="s">
        <v>4</v>
      </c>
      <c r="E159" s="5">
        <v>1980</v>
      </c>
      <c r="F159">
        <f>MONTH(A159)</f>
        <v>6</v>
      </c>
    </row>
    <row r="160" spans="1:6">
      <c r="A160" s="13">
        <v>45836</v>
      </c>
      <c r="B160" t="s">
        <v>49</v>
      </c>
      <c r="C160" t="s">
        <v>3</v>
      </c>
      <c r="D160" t="s">
        <v>4</v>
      </c>
      <c r="E160" s="5">
        <v>4900</v>
      </c>
      <c r="F160">
        <f>MONTH(A160)</f>
        <v>6</v>
      </c>
    </row>
    <row r="161" spans="1:6">
      <c r="A161" s="13">
        <v>45836</v>
      </c>
      <c r="B161" t="s">
        <v>28</v>
      </c>
      <c r="C161" t="s">
        <v>18</v>
      </c>
      <c r="D161" t="s">
        <v>8</v>
      </c>
      <c r="E161" s="5">
        <v>30.8</v>
      </c>
      <c r="F161">
        <f>MONTH(A161)</f>
        <v>6</v>
      </c>
    </row>
    <row r="162" spans="1:6">
      <c r="A162" s="13">
        <v>45839</v>
      </c>
      <c r="B162" t="s">
        <v>27</v>
      </c>
      <c r="C162" t="s">
        <v>7</v>
      </c>
      <c r="D162" t="s">
        <v>8</v>
      </c>
      <c r="E162" s="5">
        <v>780</v>
      </c>
      <c r="F162">
        <f>MONTH(A162)</f>
        <v>7</v>
      </c>
    </row>
    <row r="163" spans="1:6">
      <c r="A163" s="13">
        <v>45839</v>
      </c>
      <c r="B163" t="s">
        <v>35</v>
      </c>
      <c r="C163" t="s">
        <v>14</v>
      </c>
      <c r="D163" t="s">
        <v>8</v>
      </c>
      <c r="E163" s="5">
        <v>126.14</v>
      </c>
      <c r="F163">
        <f>MONTH(A163)</f>
        <v>7</v>
      </c>
    </row>
    <row r="164" spans="1:6">
      <c r="A164" s="13">
        <v>45841</v>
      </c>
      <c r="B164" t="s">
        <v>30</v>
      </c>
      <c r="C164" t="s">
        <v>13</v>
      </c>
      <c r="D164" t="s">
        <v>8</v>
      </c>
      <c r="E164" s="5">
        <v>59.9</v>
      </c>
      <c r="F164">
        <f>MONTH(A164)</f>
        <v>7</v>
      </c>
    </row>
    <row r="165" spans="1:6">
      <c r="A165" s="13">
        <v>45841</v>
      </c>
      <c r="B165" t="s">
        <v>38</v>
      </c>
      <c r="C165" t="s">
        <v>14</v>
      </c>
      <c r="D165" t="s">
        <v>8</v>
      </c>
      <c r="E165" s="5">
        <v>124.98</v>
      </c>
      <c r="F165">
        <f>MONTH(A165)</f>
        <v>7</v>
      </c>
    </row>
    <row r="166" spans="1:6">
      <c r="A166" s="13">
        <v>45843</v>
      </c>
      <c r="B166" t="s">
        <v>32</v>
      </c>
      <c r="C166" t="s">
        <v>9</v>
      </c>
      <c r="D166" t="s">
        <v>8</v>
      </c>
      <c r="E166" s="5">
        <v>65</v>
      </c>
      <c r="F166">
        <f>MONTH(A166)</f>
        <v>7</v>
      </c>
    </row>
    <row r="167" spans="1:6">
      <c r="A167" s="13">
        <v>45843</v>
      </c>
      <c r="B167" t="s">
        <v>51</v>
      </c>
      <c r="C167" t="s">
        <v>17</v>
      </c>
      <c r="D167" t="s">
        <v>8</v>
      </c>
      <c r="E167" s="5">
        <v>59.56</v>
      </c>
      <c r="F167">
        <f>MONTH(A167)</f>
        <v>7</v>
      </c>
    </row>
    <row r="168" spans="1:6">
      <c r="A168" s="13">
        <v>45844</v>
      </c>
      <c r="B168" t="s">
        <v>48</v>
      </c>
      <c r="C168" t="s">
        <v>14</v>
      </c>
      <c r="D168" t="s">
        <v>8</v>
      </c>
      <c r="E168" s="5">
        <v>66.88</v>
      </c>
      <c r="F168">
        <f>MONTH(A168)</f>
        <v>7</v>
      </c>
    </row>
    <row r="169" spans="1:6">
      <c r="A169" s="13">
        <v>45846</v>
      </c>
      <c r="B169" t="s">
        <v>37</v>
      </c>
      <c r="C169" t="s">
        <v>10</v>
      </c>
      <c r="D169" t="s">
        <v>8</v>
      </c>
      <c r="E169" s="5">
        <v>76.22</v>
      </c>
      <c r="F169">
        <f>MONTH(A169)</f>
        <v>7</v>
      </c>
    </row>
    <row r="170" spans="1:6">
      <c r="A170" s="13">
        <v>45848</v>
      </c>
      <c r="B170" t="s">
        <v>56</v>
      </c>
      <c r="C170" t="s">
        <v>17</v>
      </c>
      <c r="D170" t="s">
        <v>8</v>
      </c>
      <c r="E170" s="5">
        <v>91.25</v>
      </c>
      <c r="F170">
        <f>MONTH(A170)</f>
        <v>7</v>
      </c>
    </row>
    <row r="171" spans="1:6">
      <c r="A171" s="13">
        <v>45848</v>
      </c>
      <c r="B171" t="s">
        <v>34</v>
      </c>
      <c r="C171" t="s">
        <v>16</v>
      </c>
      <c r="D171" t="s">
        <v>8</v>
      </c>
      <c r="E171" s="5">
        <v>35</v>
      </c>
      <c r="F171">
        <f>MONTH(A171)</f>
        <v>7</v>
      </c>
    </row>
    <row r="172" spans="1:6">
      <c r="A172" s="13">
        <v>45851</v>
      </c>
      <c r="B172" t="s">
        <v>62</v>
      </c>
      <c r="C172" t="s">
        <v>20</v>
      </c>
      <c r="D172" t="s">
        <v>8</v>
      </c>
      <c r="E172" s="5">
        <v>77.89</v>
      </c>
      <c r="F172">
        <f>MONTH(A172)</f>
        <v>7</v>
      </c>
    </row>
    <row r="173" spans="1:6">
      <c r="A173" s="13">
        <v>45852</v>
      </c>
      <c r="B173" t="s">
        <v>28</v>
      </c>
      <c r="C173" t="s">
        <v>18</v>
      </c>
      <c r="D173" t="s">
        <v>8</v>
      </c>
      <c r="E173" s="5">
        <v>48.19</v>
      </c>
      <c r="F173">
        <f>MONTH(A173)</f>
        <v>7</v>
      </c>
    </row>
    <row r="174" spans="1:6">
      <c r="A174" s="13">
        <v>45853</v>
      </c>
      <c r="B174" t="s">
        <v>39</v>
      </c>
      <c r="C174" t="s">
        <v>12</v>
      </c>
      <c r="D174" t="s">
        <v>8</v>
      </c>
      <c r="E174" s="5">
        <v>31.06</v>
      </c>
      <c r="F174">
        <f>MONTH(A174)</f>
        <v>7</v>
      </c>
    </row>
    <row r="175" spans="1:6">
      <c r="A175" s="13">
        <v>45853</v>
      </c>
      <c r="B175" t="s">
        <v>60</v>
      </c>
      <c r="C175" t="s">
        <v>15</v>
      </c>
      <c r="D175" t="s">
        <v>8</v>
      </c>
      <c r="E175" s="5">
        <v>55.22</v>
      </c>
      <c r="F175">
        <f>MONTH(A175)</f>
        <v>7</v>
      </c>
    </row>
    <row r="176" spans="1:6">
      <c r="A176" s="13">
        <v>45853</v>
      </c>
      <c r="B176" t="s">
        <v>45</v>
      </c>
      <c r="C176" t="s">
        <v>15</v>
      </c>
      <c r="D176" t="s">
        <v>8</v>
      </c>
      <c r="E176" s="5">
        <v>42.11</v>
      </c>
      <c r="F176">
        <f>MONTH(A176)</f>
        <v>7</v>
      </c>
    </row>
    <row r="177" spans="1:6">
      <c r="A177" s="13">
        <v>45855</v>
      </c>
      <c r="B177" t="s">
        <v>48</v>
      </c>
      <c r="C177" t="s">
        <v>14</v>
      </c>
      <c r="D177" t="s">
        <v>8</v>
      </c>
      <c r="E177" s="5">
        <v>130</v>
      </c>
      <c r="F177">
        <f>MONTH(A177)</f>
        <v>7</v>
      </c>
    </row>
    <row r="178" spans="1:6">
      <c r="A178" s="13">
        <v>45856</v>
      </c>
      <c r="B178" t="s">
        <v>33</v>
      </c>
      <c r="C178" t="s">
        <v>15</v>
      </c>
      <c r="D178" t="s">
        <v>8</v>
      </c>
      <c r="E178" s="5">
        <v>39.18</v>
      </c>
      <c r="F178">
        <f>MONTH(A178)</f>
        <v>7</v>
      </c>
    </row>
    <row r="179" spans="1:6">
      <c r="A179" s="13">
        <v>45857</v>
      </c>
      <c r="B179" t="s">
        <v>63</v>
      </c>
      <c r="C179" t="s">
        <v>20</v>
      </c>
      <c r="D179" t="s">
        <v>8</v>
      </c>
      <c r="E179" s="5">
        <v>51.23</v>
      </c>
      <c r="F179">
        <f>MONTH(A179)</f>
        <v>7</v>
      </c>
    </row>
    <row r="180" spans="1:6">
      <c r="A180" s="13">
        <v>45858</v>
      </c>
      <c r="B180" t="s">
        <v>43</v>
      </c>
      <c r="C180" t="s">
        <v>11</v>
      </c>
      <c r="D180" t="s">
        <v>8</v>
      </c>
      <c r="E180" s="5">
        <v>53.41</v>
      </c>
      <c r="F180">
        <f>MONTH(A180)</f>
        <v>7</v>
      </c>
    </row>
    <row r="181" spans="1:6">
      <c r="A181" s="13">
        <v>45858</v>
      </c>
      <c r="B181" t="s">
        <v>57</v>
      </c>
      <c r="C181" t="s">
        <v>18</v>
      </c>
      <c r="D181" t="s">
        <v>8</v>
      </c>
      <c r="E181" s="5">
        <v>19.67</v>
      </c>
      <c r="F181">
        <f>MONTH(A181)</f>
        <v>7</v>
      </c>
    </row>
    <row r="182" spans="1:6">
      <c r="A182" s="13">
        <v>45861</v>
      </c>
      <c r="B182" t="s">
        <v>54</v>
      </c>
      <c r="C182" t="s">
        <v>15</v>
      </c>
      <c r="D182" t="s">
        <v>8</v>
      </c>
      <c r="E182" s="5">
        <v>51.41</v>
      </c>
      <c r="F182">
        <f>MONTH(A182)</f>
        <v>7</v>
      </c>
    </row>
    <row r="183" spans="1:6">
      <c r="A183" s="13">
        <v>45864</v>
      </c>
      <c r="B183" t="s">
        <v>35</v>
      </c>
      <c r="C183" t="s">
        <v>14</v>
      </c>
      <c r="D183" t="s">
        <v>8</v>
      </c>
      <c r="E183" s="5">
        <v>83.81999999999999</v>
      </c>
      <c r="F183">
        <f>MONTH(A183)</f>
        <v>7</v>
      </c>
    </row>
    <row r="184" spans="1:6">
      <c r="A184" s="13">
        <v>45865</v>
      </c>
      <c r="B184" t="s">
        <v>47</v>
      </c>
      <c r="C184" t="s">
        <v>5</v>
      </c>
      <c r="D184" t="s">
        <v>4</v>
      </c>
      <c r="E184" s="5">
        <v>3960</v>
      </c>
      <c r="F184">
        <f>MONTH(A184)</f>
        <v>7</v>
      </c>
    </row>
    <row r="185" spans="1:6">
      <c r="A185" s="13">
        <v>45866</v>
      </c>
      <c r="B185" t="s">
        <v>49</v>
      </c>
      <c r="C185" t="s">
        <v>3</v>
      </c>
      <c r="D185" t="s">
        <v>4</v>
      </c>
      <c r="E185" s="5">
        <v>2450</v>
      </c>
      <c r="F185">
        <f>MONTH(A185)</f>
        <v>7</v>
      </c>
    </row>
    <row r="186" spans="1:6">
      <c r="A186" s="13">
        <v>45866</v>
      </c>
      <c r="B186" t="s">
        <v>41</v>
      </c>
      <c r="C186" t="s">
        <v>17</v>
      </c>
      <c r="D186" t="s">
        <v>8</v>
      </c>
      <c r="E186" s="5">
        <v>37.27</v>
      </c>
      <c r="F186">
        <f>MONTH(A186)</f>
        <v>7</v>
      </c>
    </row>
    <row r="187" spans="1:6">
      <c r="A187" s="13">
        <v>45870</v>
      </c>
      <c r="B187" t="s">
        <v>27</v>
      </c>
      <c r="C187" t="s">
        <v>7</v>
      </c>
      <c r="D187" t="s">
        <v>8</v>
      </c>
      <c r="E187" s="5">
        <v>780</v>
      </c>
      <c r="F187">
        <f>MONTH(A187)</f>
        <v>8</v>
      </c>
    </row>
    <row r="188" spans="1:6">
      <c r="A188" s="13">
        <v>45870</v>
      </c>
      <c r="B188" t="s">
        <v>57</v>
      </c>
      <c r="C188" t="s">
        <v>18</v>
      </c>
      <c r="D188" t="s">
        <v>8</v>
      </c>
      <c r="E188" s="5">
        <v>55.98</v>
      </c>
      <c r="F188">
        <f>MONTH(A188)</f>
        <v>8</v>
      </c>
    </row>
    <row r="189" spans="1:6">
      <c r="A189" s="13">
        <v>45870</v>
      </c>
      <c r="B189" t="s">
        <v>53</v>
      </c>
      <c r="C189" t="s">
        <v>14</v>
      </c>
      <c r="D189" t="s">
        <v>8</v>
      </c>
      <c r="E189" s="5">
        <v>41.18</v>
      </c>
      <c r="F189">
        <f>MONTH(A189)</f>
        <v>8</v>
      </c>
    </row>
    <row r="190" spans="1:6">
      <c r="A190" s="13">
        <v>45870</v>
      </c>
      <c r="B190" t="s">
        <v>60</v>
      </c>
      <c r="C190" t="s">
        <v>15</v>
      </c>
      <c r="D190" t="s">
        <v>8</v>
      </c>
      <c r="E190" s="5">
        <v>28.75</v>
      </c>
      <c r="F190">
        <f>MONTH(A190)</f>
        <v>8</v>
      </c>
    </row>
    <row r="191" spans="1:6">
      <c r="A191" s="13">
        <v>45871</v>
      </c>
      <c r="B191" t="s">
        <v>33</v>
      </c>
      <c r="C191" t="s">
        <v>15</v>
      </c>
      <c r="D191" t="s">
        <v>8</v>
      </c>
      <c r="E191" s="5">
        <v>20.09</v>
      </c>
      <c r="F191">
        <f>MONTH(A191)</f>
        <v>8</v>
      </c>
    </row>
    <row r="192" spans="1:6">
      <c r="A192" s="13">
        <v>45872</v>
      </c>
      <c r="B192" t="s">
        <v>30</v>
      </c>
      <c r="C192" t="s">
        <v>13</v>
      </c>
      <c r="D192" t="s">
        <v>8</v>
      </c>
      <c r="E192" s="5">
        <v>59.9</v>
      </c>
      <c r="F192">
        <f>MONTH(A192)</f>
        <v>8</v>
      </c>
    </row>
    <row r="193" spans="1:6">
      <c r="A193" s="13">
        <v>45873</v>
      </c>
      <c r="B193" t="s">
        <v>35</v>
      </c>
      <c r="C193" t="s">
        <v>14</v>
      </c>
      <c r="D193" t="s">
        <v>8</v>
      </c>
      <c r="E193" s="5">
        <v>77.44</v>
      </c>
      <c r="F193">
        <f>MONTH(A193)</f>
        <v>8</v>
      </c>
    </row>
    <row r="194" spans="1:6">
      <c r="A194" s="13">
        <v>45874</v>
      </c>
      <c r="B194" t="s">
        <v>32</v>
      </c>
      <c r="C194" t="s">
        <v>9</v>
      </c>
      <c r="D194" t="s">
        <v>8</v>
      </c>
      <c r="E194" s="5">
        <v>65</v>
      </c>
      <c r="F194">
        <f>MONTH(A194)</f>
        <v>8</v>
      </c>
    </row>
    <row r="195" spans="1:6">
      <c r="A195" s="13">
        <v>45874</v>
      </c>
      <c r="B195" t="s">
        <v>53</v>
      </c>
      <c r="C195" t="s">
        <v>14</v>
      </c>
      <c r="D195" t="s">
        <v>8</v>
      </c>
      <c r="E195" s="5">
        <v>79.20999999999999</v>
      </c>
      <c r="F195">
        <f>MONTH(A195)</f>
        <v>8</v>
      </c>
    </row>
    <row r="196" spans="1:6">
      <c r="A196" s="13">
        <v>45876</v>
      </c>
      <c r="B196" t="s">
        <v>58</v>
      </c>
      <c r="C196" t="s">
        <v>22</v>
      </c>
      <c r="D196" t="s">
        <v>8</v>
      </c>
      <c r="E196" s="5">
        <v>54.94</v>
      </c>
      <c r="F196">
        <f>MONTH(A196)</f>
        <v>8</v>
      </c>
    </row>
    <row r="197" spans="1:6">
      <c r="A197" s="13">
        <v>45877</v>
      </c>
      <c r="B197" t="s">
        <v>56</v>
      </c>
      <c r="C197" t="s">
        <v>17</v>
      </c>
      <c r="D197" t="s">
        <v>8</v>
      </c>
      <c r="E197" s="5">
        <v>20.71</v>
      </c>
      <c r="F197">
        <f>MONTH(A197)</f>
        <v>8</v>
      </c>
    </row>
    <row r="198" spans="1:6">
      <c r="A198" s="13">
        <v>45878</v>
      </c>
      <c r="B198" t="s">
        <v>35</v>
      </c>
      <c r="C198" t="s">
        <v>14</v>
      </c>
      <c r="D198" t="s">
        <v>8</v>
      </c>
      <c r="E198" s="5">
        <v>84.15000000000001</v>
      </c>
      <c r="F198">
        <f>MONTH(A198)</f>
        <v>8</v>
      </c>
    </row>
    <row r="199" spans="1:6">
      <c r="A199" s="13">
        <v>45879</v>
      </c>
      <c r="B199" t="s">
        <v>34</v>
      </c>
      <c r="C199" t="s">
        <v>16</v>
      </c>
      <c r="D199" t="s">
        <v>8</v>
      </c>
      <c r="E199" s="5">
        <v>35</v>
      </c>
      <c r="F199">
        <f>MONTH(A199)</f>
        <v>8</v>
      </c>
    </row>
    <row r="200" spans="1:6">
      <c r="A200" s="13">
        <v>45880</v>
      </c>
      <c r="B200" t="s">
        <v>55</v>
      </c>
      <c r="C200" t="s">
        <v>19</v>
      </c>
      <c r="D200" t="s">
        <v>8</v>
      </c>
      <c r="E200" s="5">
        <v>57.8</v>
      </c>
      <c r="F200">
        <f>MONTH(A200)</f>
        <v>8</v>
      </c>
    </row>
    <row r="201" spans="1:6">
      <c r="A201" s="13">
        <v>45881</v>
      </c>
      <c r="B201" t="s">
        <v>37</v>
      </c>
      <c r="C201" t="s">
        <v>10</v>
      </c>
      <c r="D201" t="s">
        <v>8</v>
      </c>
      <c r="E201" s="5">
        <v>77.37</v>
      </c>
      <c r="F201">
        <f>MONTH(A201)</f>
        <v>8</v>
      </c>
    </row>
    <row r="202" spans="1:6">
      <c r="A202" s="13">
        <v>45884</v>
      </c>
      <c r="B202" t="s">
        <v>39</v>
      </c>
      <c r="C202" t="s">
        <v>12</v>
      </c>
      <c r="D202" t="s">
        <v>8</v>
      </c>
      <c r="E202" s="5">
        <v>33.65</v>
      </c>
      <c r="F202">
        <f>MONTH(A202)</f>
        <v>8</v>
      </c>
    </row>
    <row r="203" spans="1:6">
      <c r="A203" s="13">
        <v>45889</v>
      </c>
      <c r="B203" t="s">
        <v>51</v>
      </c>
      <c r="C203" t="s">
        <v>17</v>
      </c>
      <c r="D203" t="s">
        <v>8</v>
      </c>
      <c r="E203" s="5">
        <v>71.56999999999999</v>
      </c>
      <c r="F203">
        <f>MONTH(A203)</f>
        <v>8</v>
      </c>
    </row>
    <row r="204" spans="1:6">
      <c r="A204" s="13">
        <v>45890</v>
      </c>
      <c r="B204" t="s">
        <v>61</v>
      </c>
      <c r="C204" t="s">
        <v>19</v>
      </c>
      <c r="D204" t="s">
        <v>8</v>
      </c>
      <c r="E204" s="5">
        <v>128.32</v>
      </c>
      <c r="F204">
        <f>MONTH(A204)</f>
        <v>8</v>
      </c>
    </row>
    <row r="205" spans="1:6">
      <c r="A205" s="13">
        <v>45893</v>
      </c>
      <c r="B205" t="s">
        <v>40</v>
      </c>
      <c r="C205" t="s">
        <v>17</v>
      </c>
      <c r="D205" t="s">
        <v>8</v>
      </c>
      <c r="E205" s="5">
        <v>82.70999999999999</v>
      </c>
      <c r="F205">
        <f>MONTH(A205)</f>
        <v>8</v>
      </c>
    </row>
    <row r="206" spans="1:6">
      <c r="A206" s="13">
        <v>45896</v>
      </c>
      <c r="B206" t="s">
        <v>47</v>
      </c>
      <c r="C206" t="s">
        <v>5</v>
      </c>
      <c r="D206" t="s">
        <v>4</v>
      </c>
      <c r="E206" s="5">
        <v>1980</v>
      </c>
      <c r="F206">
        <f>MONTH(A206)</f>
        <v>8</v>
      </c>
    </row>
    <row r="207" spans="1:6">
      <c r="A207" s="13">
        <v>45896</v>
      </c>
      <c r="B207" t="s">
        <v>36</v>
      </c>
      <c r="C207" t="s">
        <v>18</v>
      </c>
      <c r="D207" t="s">
        <v>8</v>
      </c>
      <c r="E207" s="5">
        <v>50.29</v>
      </c>
      <c r="F207">
        <f>MONTH(A207)</f>
        <v>8</v>
      </c>
    </row>
    <row r="208" spans="1:6">
      <c r="A208" s="13">
        <v>45896</v>
      </c>
      <c r="B208" t="s">
        <v>38</v>
      </c>
      <c r="C208" t="s">
        <v>14</v>
      </c>
      <c r="D208" t="s">
        <v>8</v>
      </c>
      <c r="E208" s="5">
        <v>90.62</v>
      </c>
      <c r="F208">
        <f>MONTH(A208)</f>
        <v>8</v>
      </c>
    </row>
    <row r="209" spans="1:6">
      <c r="A209" s="13">
        <v>45897</v>
      </c>
      <c r="B209" t="s">
        <v>49</v>
      </c>
      <c r="C209" t="s">
        <v>3</v>
      </c>
      <c r="D209" t="s">
        <v>4</v>
      </c>
      <c r="E209" s="5">
        <v>2450</v>
      </c>
      <c r="F209">
        <f>MONTH(A209)</f>
        <v>8</v>
      </c>
    </row>
    <row r="210" spans="1:6">
      <c r="A210" s="13">
        <v>45897</v>
      </c>
      <c r="B210" t="s">
        <v>36</v>
      </c>
      <c r="C210" t="s">
        <v>18</v>
      </c>
      <c r="D210" t="s">
        <v>8</v>
      </c>
      <c r="E210" s="5">
        <v>49.78</v>
      </c>
      <c r="F210">
        <f>MONTH(A210)</f>
        <v>8</v>
      </c>
    </row>
    <row r="211" spans="1:6">
      <c r="A211" s="13">
        <v>45897</v>
      </c>
      <c r="B211" t="s">
        <v>36</v>
      </c>
      <c r="C211" t="s">
        <v>18</v>
      </c>
      <c r="D211" t="s">
        <v>8</v>
      </c>
      <c r="E211" s="5">
        <v>31.96</v>
      </c>
      <c r="F211">
        <f>MONTH(A211)</f>
        <v>8</v>
      </c>
    </row>
    <row r="212" spans="1:6">
      <c r="A212" s="13">
        <v>45901</v>
      </c>
      <c r="B212" t="s">
        <v>27</v>
      </c>
      <c r="C212" t="s">
        <v>7</v>
      </c>
      <c r="D212" t="s">
        <v>8</v>
      </c>
      <c r="E212" s="5">
        <v>780</v>
      </c>
      <c r="F212">
        <f>MONTH(A212)</f>
        <v>9</v>
      </c>
    </row>
    <row r="213" spans="1:6">
      <c r="A213" s="13">
        <v>45902</v>
      </c>
      <c r="B213" t="s">
        <v>29</v>
      </c>
      <c r="C213" t="s">
        <v>21</v>
      </c>
      <c r="D213" t="s">
        <v>8</v>
      </c>
      <c r="E213" s="5">
        <v>60</v>
      </c>
      <c r="F213">
        <f>MONTH(A213)</f>
        <v>9</v>
      </c>
    </row>
    <row r="214" spans="1:6">
      <c r="A214" s="13">
        <v>45903</v>
      </c>
      <c r="B214" t="s">
        <v>30</v>
      </c>
      <c r="C214" t="s">
        <v>13</v>
      </c>
      <c r="D214" t="s">
        <v>8</v>
      </c>
      <c r="E214" s="5">
        <v>59.9</v>
      </c>
      <c r="F214">
        <f>MONTH(A214)</f>
        <v>9</v>
      </c>
    </row>
    <row r="215" spans="1:6">
      <c r="A215" s="13">
        <v>45904</v>
      </c>
      <c r="B215" t="s">
        <v>41</v>
      </c>
      <c r="C215" t="s">
        <v>17</v>
      </c>
      <c r="D215" t="s">
        <v>8</v>
      </c>
      <c r="E215" s="5">
        <v>26.32</v>
      </c>
      <c r="F215">
        <f>MONTH(A215)</f>
        <v>9</v>
      </c>
    </row>
    <row r="216" spans="1:6">
      <c r="A216" s="13">
        <v>45905</v>
      </c>
      <c r="B216" t="s">
        <v>32</v>
      </c>
      <c r="C216" t="s">
        <v>9</v>
      </c>
      <c r="D216" t="s">
        <v>8</v>
      </c>
      <c r="E216" s="5">
        <v>65</v>
      </c>
      <c r="F216">
        <f>MONTH(A216)</f>
        <v>9</v>
      </c>
    </row>
    <row r="217" spans="1:6">
      <c r="A217" s="13">
        <v>45906</v>
      </c>
      <c r="B217" t="s">
        <v>64</v>
      </c>
      <c r="C217" t="s">
        <v>21</v>
      </c>
      <c r="D217" t="s">
        <v>8</v>
      </c>
      <c r="E217" s="5">
        <v>348.75</v>
      </c>
      <c r="F217">
        <f>MONTH(A217)</f>
        <v>9</v>
      </c>
    </row>
    <row r="218" spans="1:6">
      <c r="A218" s="13">
        <v>45906</v>
      </c>
      <c r="B218" t="s">
        <v>51</v>
      </c>
      <c r="C218" t="s">
        <v>17</v>
      </c>
      <c r="D218" t="s">
        <v>8</v>
      </c>
      <c r="E218" s="5">
        <v>88.93000000000001</v>
      </c>
      <c r="F218">
        <f>MONTH(A218)</f>
        <v>9</v>
      </c>
    </row>
    <row r="219" spans="1:6">
      <c r="A219" s="13">
        <v>45907</v>
      </c>
      <c r="B219" t="s">
        <v>58</v>
      </c>
      <c r="C219" t="s">
        <v>22</v>
      </c>
      <c r="D219" t="s">
        <v>8</v>
      </c>
      <c r="E219" s="5">
        <v>23.16</v>
      </c>
      <c r="F219">
        <f>MONTH(A219)</f>
        <v>9</v>
      </c>
    </row>
    <row r="220" spans="1:6">
      <c r="A220" s="13">
        <v>45909</v>
      </c>
      <c r="B220" t="s">
        <v>37</v>
      </c>
      <c r="C220" t="s">
        <v>10</v>
      </c>
      <c r="D220" t="s">
        <v>8</v>
      </c>
      <c r="E220" s="5">
        <v>56.48</v>
      </c>
      <c r="F220">
        <f>MONTH(A220)</f>
        <v>9</v>
      </c>
    </row>
    <row r="221" spans="1:6">
      <c r="A221" s="13">
        <v>45910</v>
      </c>
      <c r="B221" t="s">
        <v>34</v>
      </c>
      <c r="C221" t="s">
        <v>16</v>
      </c>
      <c r="D221" t="s">
        <v>8</v>
      </c>
      <c r="E221" s="5">
        <v>35</v>
      </c>
      <c r="F221">
        <f>MONTH(A221)</f>
        <v>9</v>
      </c>
    </row>
    <row r="222" spans="1:6">
      <c r="A222" s="13">
        <v>45911</v>
      </c>
      <c r="B222" t="s">
        <v>61</v>
      </c>
      <c r="C222" t="s">
        <v>19</v>
      </c>
      <c r="D222" t="s">
        <v>8</v>
      </c>
      <c r="E222" s="5">
        <v>76.04000000000001</v>
      </c>
      <c r="F222">
        <f>MONTH(A222)</f>
        <v>9</v>
      </c>
    </row>
    <row r="223" spans="1:6">
      <c r="A223" s="13">
        <v>45912</v>
      </c>
      <c r="B223" t="s">
        <v>31</v>
      </c>
      <c r="C223" t="s">
        <v>20</v>
      </c>
      <c r="D223" t="s">
        <v>8</v>
      </c>
      <c r="E223" s="5">
        <v>27.07</v>
      </c>
      <c r="F223">
        <f>MONTH(A223)</f>
        <v>9</v>
      </c>
    </row>
    <row r="224" spans="1:6">
      <c r="A224" s="13">
        <v>45912</v>
      </c>
      <c r="B224" t="s">
        <v>63</v>
      </c>
      <c r="C224" t="s">
        <v>20</v>
      </c>
      <c r="D224" t="s">
        <v>8</v>
      </c>
      <c r="E224" s="5">
        <v>63.52</v>
      </c>
      <c r="F224">
        <f>MONTH(A224)</f>
        <v>9</v>
      </c>
    </row>
    <row r="225" spans="1:6">
      <c r="A225" s="13">
        <v>45912</v>
      </c>
      <c r="B225" t="s">
        <v>46</v>
      </c>
      <c r="C225" t="s">
        <v>14</v>
      </c>
      <c r="D225" t="s">
        <v>8</v>
      </c>
      <c r="E225" s="5">
        <v>113.09</v>
      </c>
      <c r="F225">
        <f>MONTH(A225)</f>
        <v>9</v>
      </c>
    </row>
    <row r="226" spans="1:6">
      <c r="A226" s="13">
        <v>45915</v>
      </c>
      <c r="B226" t="s">
        <v>39</v>
      </c>
      <c r="C226" t="s">
        <v>12</v>
      </c>
      <c r="D226" t="s">
        <v>8</v>
      </c>
      <c r="E226" s="5">
        <v>24.59</v>
      </c>
      <c r="F226">
        <f>MONTH(A226)</f>
        <v>9</v>
      </c>
    </row>
    <row r="227" spans="1:6">
      <c r="A227" s="13">
        <v>45915</v>
      </c>
      <c r="B227" t="s">
        <v>52</v>
      </c>
      <c r="C227" t="s">
        <v>19</v>
      </c>
      <c r="D227" t="s">
        <v>8</v>
      </c>
      <c r="E227" s="5">
        <v>111.77</v>
      </c>
      <c r="F227">
        <f>MONTH(A227)</f>
        <v>9</v>
      </c>
    </row>
    <row r="228" spans="1:6">
      <c r="A228" s="13">
        <v>45916</v>
      </c>
      <c r="B228" t="s">
        <v>54</v>
      </c>
      <c r="C228" t="s">
        <v>15</v>
      </c>
      <c r="D228" t="s">
        <v>8</v>
      </c>
      <c r="E228" s="5">
        <v>13.26</v>
      </c>
      <c r="F228">
        <f>MONTH(A228)</f>
        <v>9</v>
      </c>
    </row>
    <row r="229" spans="1:6">
      <c r="A229" s="13">
        <v>45919</v>
      </c>
      <c r="B229" t="s">
        <v>28</v>
      </c>
      <c r="C229" t="s">
        <v>18</v>
      </c>
      <c r="D229" t="s">
        <v>8</v>
      </c>
      <c r="E229" s="5">
        <v>26.07</v>
      </c>
      <c r="F229">
        <f>MONTH(A229)</f>
        <v>9</v>
      </c>
    </row>
    <row r="230" spans="1:6">
      <c r="A230" s="13">
        <v>45919</v>
      </c>
      <c r="B230" t="s">
        <v>53</v>
      </c>
      <c r="C230" t="s">
        <v>14</v>
      </c>
      <c r="D230" t="s">
        <v>8</v>
      </c>
      <c r="E230" s="5">
        <v>138.92</v>
      </c>
      <c r="F230">
        <f>MONTH(A230)</f>
        <v>9</v>
      </c>
    </row>
    <row r="231" spans="1:6">
      <c r="A231" s="13">
        <v>45920</v>
      </c>
      <c r="B231" t="s">
        <v>43</v>
      </c>
      <c r="C231" t="s">
        <v>11</v>
      </c>
      <c r="D231" t="s">
        <v>8</v>
      </c>
      <c r="E231" s="5">
        <v>40.47</v>
      </c>
      <c r="F231">
        <f>MONTH(A231)</f>
        <v>9</v>
      </c>
    </row>
    <row r="232" spans="1:6">
      <c r="A232" s="13">
        <v>45921</v>
      </c>
      <c r="B232" t="s">
        <v>46</v>
      </c>
      <c r="C232" t="s">
        <v>14</v>
      </c>
      <c r="D232" t="s">
        <v>8</v>
      </c>
      <c r="E232" s="5">
        <v>37.01</v>
      </c>
      <c r="F232">
        <f>MONTH(A232)</f>
        <v>9</v>
      </c>
    </row>
    <row r="233" spans="1:6">
      <c r="A233" s="13">
        <v>45922</v>
      </c>
      <c r="B233" t="s">
        <v>33</v>
      </c>
      <c r="C233" t="s">
        <v>15</v>
      </c>
      <c r="D233" t="s">
        <v>8</v>
      </c>
      <c r="E233" s="5">
        <v>53.75</v>
      </c>
      <c r="F233">
        <f>MONTH(A233)</f>
        <v>9</v>
      </c>
    </row>
    <row r="234" spans="1:6">
      <c r="A234" s="13">
        <v>45923</v>
      </c>
      <c r="B234" t="s">
        <v>35</v>
      </c>
      <c r="C234" t="s">
        <v>14</v>
      </c>
      <c r="D234" t="s">
        <v>8</v>
      </c>
      <c r="E234" s="5">
        <v>50.08</v>
      </c>
      <c r="F234">
        <f>MONTH(A234)</f>
        <v>9</v>
      </c>
    </row>
    <row r="235" spans="1:6">
      <c r="A235" s="13">
        <v>45925</v>
      </c>
      <c r="B235" t="s">
        <v>60</v>
      </c>
      <c r="C235" t="s">
        <v>15</v>
      </c>
      <c r="D235" t="s">
        <v>8</v>
      </c>
      <c r="E235" s="5">
        <v>38.14</v>
      </c>
      <c r="F235">
        <f>MONTH(A235)</f>
        <v>9</v>
      </c>
    </row>
    <row r="236" spans="1:6">
      <c r="A236" s="13">
        <v>45925</v>
      </c>
      <c r="B236" t="s">
        <v>45</v>
      </c>
      <c r="C236" t="s">
        <v>15</v>
      </c>
      <c r="D236" t="s">
        <v>8</v>
      </c>
      <c r="E236" s="5">
        <v>19.62</v>
      </c>
      <c r="F236">
        <f>MONTH(A236)</f>
        <v>9</v>
      </c>
    </row>
    <row r="237" spans="1:6">
      <c r="A237" s="13">
        <v>45927</v>
      </c>
      <c r="B237" t="s">
        <v>47</v>
      </c>
      <c r="C237" t="s">
        <v>5</v>
      </c>
      <c r="D237" t="s">
        <v>4</v>
      </c>
      <c r="E237" s="5">
        <v>1980</v>
      </c>
      <c r="F237">
        <f>MONTH(A237)</f>
        <v>9</v>
      </c>
    </row>
    <row r="238" spans="1:6">
      <c r="A238" s="13">
        <v>45927</v>
      </c>
      <c r="B238" t="s">
        <v>38</v>
      </c>
      <c r="C238" t="s">
        <v>14</v>
      </c>
      <c r="D238" t="s">
        <v>8</v>
      </c>
      <c r="E238" s="5">
        <v>92.91</v>
      </c>
      <c r="F238">
        <f>MONTH(A238)</f>
        <v>9</v>
      </c>
    </row>
    <row r="239" spans="1:6">
      <c r="A239" s="13">
        <v>45928</v>
      </c>
      <c r="B239" t="s">
        <v>49</v>
      </c>
      <c r="C239" t="s">
        <v>3</v>
      </c>
      <c r="D239" t="s">
        <v>4</v>
      </c>
      <c r="E239" s="5">
        <v>2450</v>
      </c>
      <c r="F239">
        <f>MONTH(A239)</f>
        <v>9</v>
      </c>
    </row>
    <row r="240" spans="1:6">
      <c r="A240" s="13">
        <v>45931</v>
      </c>
      <c r="B240" t="s">
        <v>27</v>
      </c>
      <c r="C240" t="s">
        <v>7</v>
      </c>
      <c r="D240" t="s">
        <v>8</v>
      </c>
      <c r="E240" s="5">
        <v>780</v>
      </c>
      <c r="F240">
        <f>MONTH(A240)</f>
        <v>10</v>
      </c>
    </row>
    <row r="241" spans="1:6">
      <c r="A241" s="13">
        <v>45931</v>
      </c>
      <c r="B241" t="s">
        <v>44</v>
      </c>
      <c r="C241" t="s">
        <v>18</v>
      </c>
      <c r="D241" t="s">
        <v>8</v>
      </c>
      <c r="E241" s="5">
        <v>77.43000000000001</v>
      </c>
      <c r="F241">
        <f>MONTH(A241)</f>
        <v>10</v>
      </c>
    </row>
    <row r="242" spans="1:6">
      <c r="A242" s="13">
        <v>45932</v>
      </c>
      <c r="B242" t="s">
        <v>29</v>
      </c>
      <c r="C242" t="s">
        <v>21</v>
      </c>
      <c r="D242" t="s">
        <v>8</v>
      </c>
      <c r="E242" s="5">
        <v>60</v>
      </c>
      <c r="F242">
        <f>MONTH(A242)</f>
        <v>10</v>
      </c>
    </row>
    <row r="243" spans="1:6">
      <c r="A243" s="13">
        <v>45932</v>
      </c>
      <c r="B243" t="s">
        <v>52</v>
      </c>
      <c r="C243" t="s">
        <v>19</v>
      </c>
      <c r="D243" t="s">
        <v>8</v>
      </c>
      <c r="E243" s="5">
        <v>52.76</v>
      </c>
      <c r="F243">
        <f>MONTH(A243)</f>
        <v>10</v>
      </c>
    </row>
    <row r="244" spans="1:6">
      <c r="A244" s="13">
        <v>45933</v>
      </c>
      <c r="B244" t="s">
        <v>30</v>
      </c>
      <c r="C244" t="s">
        <v>13</v>
      </c>
      <c r="D244" t="s">
        <v>8</v>
      </c>
      <c r="E244" s="5">
        <v>59.9</v>
      </c>
      <c r="F244">
        <f>MONTH(A244)</f>
        <v>10</v>
      </c>
    </row>
    <row r="245" spans="1:6">
      <c r="A245" s="13">
        <v>45933</v>
      </c>
      <c r="B245" t="s">
        <v>51</v>
      </c>
      <c r="C245" t="s">
        <v>17</v>
      </c>
      <c r="D245" t="s">
        <v>8</v>
      </c>
      <c r="E245" s="5">
        <v>37.04</v>
      </c>
      <c r="F245">
        <f>MONTH(A245)</f>
        <v>10</v>
      </c>
    </row>
    <row r="246" spans="1:6">
      <c r="A246" s="13">
        <v>45933</v>
      </c>
      <c r="B246" t="s">
        <v>31</v>
      </c>
      <c r="C246" t="s">
        <v>20</v>
      </c>
      <c r="D246" t="s">
        <v>8</v>
      </c>
      <c r="E246" s="5">
        <v>53.26</v>
      </c>
      <c r="F246">
        <f>MONTH(A246)</f>
        <v>10</v>
      </c>
    </row>
    <row r="247" spans="1:6">
      <c r="A247" s="13">
        <v>45935</v>
      </c>
      <c r="B247" t="s">
        <v>32</v>
      </c>
      <c r="C247" t="s">
        <v>9</v>
      </c>
      <c r="D247" t="s">
        <v>8</v>
      </c>
      <c r="E247" s="5">
        <v>65</v>
      </c>
      <c r="F247">
        <f>MONTH(A247)</f>
        <v>10</v>
      </c>
    </row>
    <row r="248" spans="1:6">
      <c r="A248" s="13">
        <v>45937</v>
      </c>
      <c r="B248" t="s">
        <v>48</v>
      </c>
      <c r="C248" t="s">
        <v>14</v>
      </c>
      <c r="D248" t="s">
        <v>8</v>
      </c>
      <c r="E248" s="5">
        <v>98.08</v>
      </c>
      <c r="F248">
        <f>MONTH(A248)</f>
        <v>10</v>
      </c>
    </row>
    <row r="249" spans="1:6">
      <c r="A249" s="13">
        <v>45939</v>
      </c>
      <c r="B249" t="s">
        <v>37</v>
      </c>
      <c r="C249" t="s">
        <v>10</v>
      </c>
      <c r="D249" t="s">
        <v>8</v>
      </c>
      <c r="E249" s="5">
        <v>86.70999999999999</v>
      </c>
      <c r="F249">
        <f>MONTH(A249)</f>
        <v>10</v>
      </c>
    </row>
    <row r="250" spans="1:6">
      <c r="A250" s="13">
        <v>45940</v>
      </c>
      <c r="B250" t="s">
        <v>34</v>
      </c>
      <c r="C250" t="s">
        <v>16</v>
      </c>
      <c r="D250" t="s">
        <v>8</v>
      </c>
      <c r="E250" s="5">
        <v>35</v>
      </c>
      <c r="F250">
        <f>MONTH(A250)</f>
        <v>10</v>
      </c>
    </row>
    <row r="251" spans="1:6">
      <c r="A251" s="13">
        <v>45941</v>
      </c>
      <c r="B251" t="s">
        <v>53</v>
      </c>
      <c r="C251" t="s">
        <v>14</v>
      </c>
      <c r="D251" t="s">
        <v>8</v>
      </c>
      <c r="E251" s="5">
        <v>59.94</v>
      </c>
      <c r="F251">
        <f>MONTH(A251)</f>
        <v>10</v>
      </c>
    </row>
    <row r="252" spans="1:6">
      <c r="A252" s="13">
        <v>45941</v>
      </c>
      <c r="B252" t="s">
        <v>46</v>
      </c>
      <c r="C252" t="s">
        <v>14</v>
      </c>
      <c r="D252" t="s">
        <v>8</v>
      </c>
      <c r="E252" s="5">
        <v>125.21</v>
      </c>
      <c r="F252">
        <f>MONTH(A252)</f>
        <v>10</v>
      </c>
    </row>
    <row r="253" spans="1:6">
      <c r="A253" s="13">
        <v>45942</v>
      </c>
      <c r="B253" t="s">
        <v>65</v>
      </c>
      <c r="C253" t="s">
        <v>6</v>
      </c>
      <c r="D253" t="s">
        <v>4</v>
      </c>
      <c r="E253" s="5">
        <v>165.87</v>
      </c>
      <c r="F253">
        <f>MONTH(A253)</f>
        <v>10</v>
      </c>
    </row>
    <row r="254" spans="1:6">
      <c r="A254" s="13">
        <v>45943</v>
      </c>
      <c r="B254" t="s">
        <v>41</v>
      </c>
      <c r="C254" t="s">
        <v>17</v>
      </c>
      <c r="D254" t="s">
        <v>8</v>
      </c>
      <c r="E254" s="5">
        <v>71.98</v>
      </c>
      <c r="F254">
        <f>MONTH(A254)</f>
        <v>10</v>
      </c>
    </row>
    <row r="255" spans="1:6">
      <c r="A255" s="13">
        <v>45943</v>
      </c>
      <c r="B255" t="s">
        <v>62</v>
      </c>
      <c r="C255" t="s">
        <v>20</v>
      </c>
      <c r="D255" t="s">
        <v>8</v>
      </c>
      <c r="E255" s="5">
        <v>24.65</v>
      </c>
      <c r="F255">
        <f>MONTH(A255)</f>
        <v>10</v>
      </c>
    </row>
    <row r="256" spans="1:6">
      <c r="A256" s="13">
        <v>45943</v>
      </c>
      <c r="B256" t="s">
        <v>33</v>
      </c>
      <c r="C256" t="s">
        <v>15</v>
      </c>
      <c r="D256" t="s">
        <v>8</v>
      </c>
      <c r="E256" s="5">
        <v>58.62</v>
      </c>
      <c r="F256">
        <f>MONTH(A256)</f>
        <v>10</v>
      </c>
    </row>
    <row r="257" spans="1:6">
      <c r="A257" s="13">
        <v>45945</v>
      </c>
      <c r="B257" t="s">
        <v>39</v>
      </c>
      <c r="C257" t="s">
        <v>12</v>
      </c>
      <c r="D257" t="s">
        <v>8</v>
      </c>
      <c r="E257" s="5">
        <v>19.61</v>
      </c>
      <c r="F257">
        <f>MONTH(A257)</f>
        <v>10</v>
      </c>
    </row>
    <row r="258" spans="1:6">
      <c r="A258" s="13">
        <v>45952</v>
      </c>
      <c r="B258" t="s">
        <v>61</v>
      </c>
      <c r="C258" t="s">
        <v>19</v>
      </c>
      <c r="D258" t="s">
        <v>8</v>
      </c>
      <c r="E258" s="5">
        <v>60.54</v>
      </c>
      <c r="F258">
        <f>MONTH(A258)</f>
        <v>10</v>
      </c>
    </row>
    <row r="259" spans="1:6">
      <c r="A259" s="13">
        <v>45953</v>
      </c>
      <c r="B259" t="s">
        <v>38</v>
      </c>
      <c r="C259" t="s">
        <v>14</v>
      </c>
      <c r="D259" t="s">
        <v>8</v>
      </c>
      <c r="E259" s="5">
        <v>96.20999999999999</v>
      </c>
      <c r="F259">
        <f>MONTH(A259)</f>
        <v>10</v>
      </c>
    </row>
    <row r="260" spans="1:6">
      <c r="A260" s="13">
        <v>45954</v>
      </c>
      <c r="B260" t="s">
        <v>33</v>
      </c>
      <c r="C260" t="s">
        <v>15</v>
      </c>
      <c r="D260" t="s">
        <v>8</v>
      </c>
      <c r="E260" s="5">
        <v>54.36</v>
      </c>
      <c r="F260">
        <f>MONTH(A260)</f>
        <v>10</v>
      </c>
    </row>
    <row r="261" spans="1:6">
      <c r="A261" s="13">
        <v>45955</v>
      </c>
      <c r="B261" t="s">
        <v>56</v>
      </c>
      <c r="C261" t="s">
        <v>17</v>
      </c>
      <c r="D261" t="s">
        <v>8</v>
      </c>
      <c r="E261" s="5">
        <v>75.51000000000001</v>
      </c>
      <c r="F261">
        <f>MONTH(A261)</f>
        <v>10</v>
      </c>
    </row>
    <row r="262" spans="1:6">
      <c r="A262" s="13">
        <v>45957</v>
      </c>
      <c r="B262" t="s">
        <v>47</v>
      </c>
      <c r="C262" t="s">
        <v>5</v>
      </c>
      <c r="D262" t="s">
        <v>4</v>
      </c>
      <c r="E262" s="5">
        <v>1980</v>
      </c>
      <c r="F262">
        <f>MONTH(A262)</f>
        <v>10</v>
      </c>
    </row>
    <row r="263" spans="1:6">
      <c r="A263" s="13">
        <v>45958</v>
      </c>
      <c r="B263" t="s">
        <v>49</v>
      </c>
      <c r="C263" t="s">
        <v>3</v>
      </c>
      <c r="D263" t="s">
        <v>4</v>
      </c>
      <c r="E263" s="5">
        <v>2450</v>
      </c>
      <c r="F263">
        <f>MONTH(A263)</f>
        <v>10</v>
      </c>
    </row>
    <row r="264" spans="1:6">
      <c r="A264" s="13">
        <v>45962</v>
      </c>
      <c r="B264" t="s">
        <v>27</v>
      </c>
      <c r="C264" t="s">
        <v>7</v>
      </c>
      <c r="D264" t="s">
        <v>8</v>
      </c>
      <c r="E264" s="5">
        <v>780</v>
      </c>
      <c r="F264">
        <f>MONTH(A264)</f>
        <v>11</v>
      </c>
    </row>
    <row r="265" spans="1:6">
      <c r="A265" s="13">
        <v>45962</v>
      </c>
      <c r="B265" t="s">
        <v>46</v>
      </c>
      <c r="C265" t="s">
        <v>14</v>
      </c>
      <c r="D265" t="s">
        <v>8</v>
      </c>
      <c r="E265" s="5">
        <v>57.32</v>
      </c>
      <c r="F265">
        <f>MONTH(A265)</f>
        <v>11</v>
      </c>
    </row>
    <row r="266" spans="1:6">
      <c r="A266" s="13">
        <v>45963</v>
      </c>
      <c r="B266" t="s">
        <v>29</v>
      </c>
      <c r="C266" t="s">
        <v>21</v>
      </c>
      <c r="D266" t="s">
        <v>8</v>
      </c>
      <c r="E266" s="5">
        <v>60</v>
      </c>
      <c r="F266">
        <f>MONTH(A266)</f>
        <v>11</v>
      </c>
    </row>
    <row r="267" spans="1:6">
      <c r="A267" s="13">
        <v>45963</v>
      </c>
      <c r="B267" t="s">
        <v>35</v>
      </c>
      <c r="C267" t="s">
        <v>14</v>
      </c>
      <c r="D267" t="s">
        <v>8</v>
      </c>
      <c r="E267" s="5">
        <v>106</v>
      </c>
      <c r="F267">
        <f>MONTH(A267)</f>
        <v>11</v>
      </c>
    </row>
    <row r="268" spans="1:6">
      <c r="A268" s="13">
        <v>45964</v>
      </c>
      <c r="B268" t="s">
        <v>30</v>
      </c>
      <c r="C268" t="s">
        <v>13</v>
      </c>
      <c r="D268" t="s">
        <v>8</v>
      </c>
      <c r="E268" s="5">
        <v>59.9</v>
      </c>
      <c r="F268">
        <f>MONTH(A268)</f>
        <v>11</v>
      </c>
    </row>
    <row r="269" spans="1:6">
      <c r="A269" s="13">
        <v>45966</v>
      </c>
      <c r="B269" t="s">
        <v>32</v>
      </c>
      <c r="C269" t="s">
        <v>9</v>
      </c>
      <c r="D269" t="s">
        <v>8</v>
      </c>
      <c r="E269" s="5">
        <v>65</v>
      </c>
      <c r="F269">
        <f>MONTH(A269)</f>
        <v>11</v>
      </c>
    </row>
    <row r="270" spans="1:6">
      <c r="A270" s="13">
        <v>45970</v>
      </c>
      <c r="B270" t="s">
        <v>38</v>
      </c>
      <c r="C270" t="s">
        <v>14</v>
      </c>
      <c r="D270" t="s">
        <v>8</v>
      </c>
      <c r="E270" s="5">
        <v>75.19</v>
      </c>
      <c r="F270">
        <f>MONTH(A270)</f>
        <v>11</v>
      </c>
    </row>
    <row r="271" spans="1:6">
      <c r="A271" s="13">
        <v>45971</v>
      </c>
      <c r="B271" t="s">
        <v>31</v>
      </c>
      <c r="C271" t="s">
        <v>20</v>
      </c>
      <c r="D271" t="s">
        <v>8</v>
      </c>
      <c r="E271" s="5">
        <v>54.62</v>
      </c>
      <c r="F271">
        <f>MONTH(A271)</f>
        <v>11</v>
      </c>
    </row>
    <row r="272" spans="1:6">
      <c r="A272" s="13">
        <v>45971</v>
      </c>
      <c r="B272" t="s">
        <v>34</v>
      </c>
      <c r="C272" t="s">
        <v>16</v>
      </c>
      <c r="D272" t="s">
        <v>8</v>
      </c>
      <c r="E272" s="5">
        <v>35</v>
      </c>
      <c r="F272">
        <f>MONTH(A272)</f>
        <v>11</v>
      </c>
    </row>
    <row r="273" spans="1:6">
      <c r="A273" s="13">
        <v>45972</v>
      </c>
      <c r="B273" t="s">
        <v>45</v>
      </c>
      <c r="C273" t="s">
        <v>15</v>
      </c>
      <c r="D273" t="s">
        <v>8</v>
      </c>
      <c r="E273" s="5">
        <v>62.29</v>
      </c>
      <c r="F273">
        <f>MONTH(A273)</f>
        <v>11</v>
      </c>
    </row>
    <row r="274" spans="1:6">
      <c r="A274" s="13">
        <v>45974</v>
      </c>
      <c r="B274" t="s">
        <v>37</v>
      </c>
      <c r="C274" t="s">
        <v>10</v>
      </c>
      <c r="D274" t="s">
        <v>8</v>
      </c>
      <c r="E274" s="5">
        <v>55.66</v>
      </c>
      <c r="F274">
        <f>MONTH(A274)</f>
        <v>11</v>
      </c>
    </row>
    <row r="275" spans="1:6">
      <c r="A275" s="13">
        <v>45974</v>
      </c>
      <c r="B275" t="s">
        <v>41</v>
      </c>
      <c r="C275" t="s">
        <v>17</v>
      </c>
      <c r="D275" t="s">
        <v>8</v>
      </c>
      <c r="E275" s="5">
        <v>44.03</v>
      </c>
      <c r="F275">
        <f>MONTH(A275)</f>
        <v>11</v>
      </c>
    </row>
    <row r="276" spans="1:6">
      <c r="A276" s="13">
        <v>45975</v>
      </c>
      <c r="B276" t="s">
        <v>61</v>
      </c>
      <c r="C276" t="s">
        <v>19</v>
      </c>
      <c r="D276" t="s">
        <v>8</v>
      </c>
      <c r="E276" s="5">
        <v>83.20999999999999</v>
      </c>
      <c r="F276">
        <f>MONTH(A276)</f>
        <v>11</v>
      </c>
    </row>
    <row r="277" spans="1:6">
      <c r="A277" s="13">
        <v>45976</v>
      </c>
      <c r="B277" t="s">
        <v>39</v>
      </c>
      <c r="C277" t="s">
        <v>12</v>
      </c>
      <c r="D277" t="s">
        <v>8</v>
      </c>
      <c r="E277" s="5">
        <v>98.75</v>
      </c>
      <c r="F277">
        <f>MONTH(A277)</f>
        <v>11</v>
      </c>
    </row>
    <row r="278" spans="1:6">
      <c r="A278" s="13">
        <v>45977</v>
      </c>
      <c r="B278" t="s">
        <v>62</v>
      </c>
      <c r="C278" t="s">
        <v>20</v>
      </c>
      <c r="D278" t="s">
        <v>8</v>
      </c>
      <c r="E278" s="5">
        <v>32.2</v>
      </c>
      <c r="F278">
        <f>MONTH(A278)</f>
        <v>11</v>
      </c>
    </row>
    <row r="279" spans="1:6">
      <c r="A279" s="13">
        <v>45980</v>
      </c>
      <c r="B279" t="s">
        <v>54</v>
      </c>
      <c r="C279" t="s">
        <v>15</v>
      </c>
      <c r="D279" t="s">
        <v>8</v>
      </c>
      <c r="E279" s="5">
        <v>45.18</v>
      </c>
      <c r="F279">
        <f>MONTH(A279)</f>
        <v>11</v>
      </c>
    </row>
    <row r="280" spans="1:6">
      <c r="A280" s="13">
        <v>45981</v>
      </c>
      <c r="B280" t="s">
        <v>43</v>
      </c>
      <c r="C280" t="s">
        <v>11</v>
      </c>
      <c r="D280" t="s">
        <v>8</v>
      </c>
      <c r="E280" s="5">
        <v>49.07</v>
      </c>
      <c r="F280">
        <f>MONTH(A280)</f>
        <v>11</v>
      </c>
    </row>
    <row r="281" spans="1:6">
      <c r="A281" s="13">
        <v>45981</v>
      </c>
      <c r="B281" t="s">
        <v>28</v>
      </c>
      <c r="C281" t="s">
        <v>18</v>
      </c>
      <c r="D281" t="s">
        <v>8</v>
      </c>
      <c r="E281" s="5">
        <v>43.77</v>
      </c>
      <c r="F281">
        <f>MONTH(A281)</f>
        <v>11</v>
      </c>
    </row>
    <row r="282" spans="1:6">
      <c r="A282" s="13">
        <v>45981</v>
      </c>
      <c r="B282" t="s">
        <v>46</v>
      </c>
      <c r="C282" t="s">
        <v>14</v>
      </c>
      <c r="D282" t="s">
        <v>8</v>
      </c>
      <c r="E282" s="5">
        <v>117.35</v>
      </c>
      <c r="F282">
        <f>MONTH(A282)</f>
        <v>11</v>
      </c>
    </row>
    <row r="283" spans="1:6">
      <c r="A283" s="13">
        <v>45987</v>
      </c>
      <c r="B283" t="s">
        <v>54</v>
      </c>
      <c r="C283" t="s">
        <v>15</v>
      </c>
      <c r="D283" t="s">
        <v>8</v>
      </c>
      <c r="E283" s="5">
        <v>40.57</v>
      </c>
      <c r="F283">
        <f>MONTH(A283)</f>
        <v>11</v>
      </c>
    </row>
    <row r="284" spans="1:6">
      <c r="A284" s="13">
        <v>45988</v>
      </c>
      <c r="B284" t="s">
        <v>47</v>
      </c>
      <c r="C284" t="s">
        <v>5</v>
      </c>
      <c r="D284" t="s">
        <v>4</v>
      </c>
      <c r="E284" s="5">
        <v>1980</v>
      </c>
      <c r="F284">
        <f>MONTH(A284)</f>
        <v>11</v>
      </c>
    </row>
    <row r="285" spans="1:6">
      <c r="A285" s="13">
        <v>45989</v>
      </c>
      <c r="B285" t="s">
        <v>49</v>
      </c>
      <c r="C285" t="s">
        <v>3</v>
      </c>
      <c r="D285" t="s">
        <v>4</v>
      </c>
      <c r="E285" s="5">
        <v>2450</v>
      </c>
      <c r="F285">
        <f>MONTH(A285)</f>
        <v>11</v>
      </c>
    </row>
    <row r="286" spans="1:6">
      <c r="A286" s="13">
        <v>45989</v>
      </c>
      <c r="B286" t="s">
        <v>57</v>
      </c>
      <c r="C286" t="s">
        <v>18</v>
      </c>
      <c r="D286" t="s">
        <v>8</v>
      </c>
      <c r="E286" s="5">
        <v>50.52</v>
      </c>
      <c r="F286">
        <f>MONTH(A286)</f>
        <v>11</v>
      </c>
    </row>
    <row r="287" spans="1:6">
      <c r="A287" s="13">
        <v>45992</v>
      </c>
      <c r="B287" t="s">
        <v>50</v>
      </c>
      <c r="C287" t="s">
        <v>6</v>
      </c>
      <c r="D287" t="s">
        <v>4</v>
      </c>
      <c r="E287" s="5">
        <v>239.17</v>
      </c>
      <c r="F287">
        <f>MONTH(A287)</f>
        <v>12</v>
      </c>
    </row>
    <row r="288" spans="1:6">
      <c r="A288" s="13">
        <v>45992</v>
      </c>
      <c r="B288" t="s">
        <v>27</v>
      </c>
      <c r="C288" t="s">
        <v>7</v>
      </c>
      <c r="D288" t="s">
        <v>8</v>
      </c>
      <c r="E288" s="5">
        <v>780</v>
      </c>
      <c r="F288">
        <f>MONTH(A288)</f>
        <v>12</v>
      </c>
    </row>
    <row r="289" spans="1:6">
      <c r="A289" s="13">
        <v>45993</v>
      </c>
      <c r="B289" t="s">
        <v>29</v>
      </c>
      <c r="C289" t="s">
        <v>21</v>
      </c>
      <c r="D289" t="s">
        <v>8</v>
      </c>
      <c r="E289" s="5">
        <v>60</v>
      </c>
      <c r="F289">
        <f>MONTH(A289)</f>
        <v>12</v>
      </c>
    </row>
    <row r="290" spans="1:6">
      <c r="A290" s="13">
        <v>45993</v>
      </c>
      <c r="B290" t="s">
        <v>56</v>
      </c>
      <c r="C290" t="s">
        <v>17</v>
      </c>
      <c r="D290" t="s">
        <v>8</v>
      </c>
      <c r="E290" s="5">
        <v>49.82</v>
      </c>
      <c r="F290">
        <f>MONTH(A290)</f>
        <v>12</v>
      </c>
    </row>
    <row r="291" spans="1:6">
      <c r="A291" s="13">
        <v>45993</v>
      </c>
      <c r="B291" t="s">
        <v>48</v>
      </c>
      <c r="C291" t="s">
        <v>14</v>
      </c>
      <c r="D291" t="s">
        <v>8</v>
      </c>
      <c r="E291" s="5">
        <v>148.6</v>
      </c>
      <c r="F291">
        <f>MONTH(A291)</f>
        <v>12</v>
      </c>
    </row>
    <row r="292" spans="1:6">
      <c r="A292" s="13">
        <v>45993</v>
      </c>
      <c r="B292" t="s">
        <v>53</v>
      </c>
      <c r="C292" t="s">
        <v>14</v>
      </c>
      <c r="D292" t="s">
        <v>8</v>
      </c>
      <c r="E292" s="5">
        <v>118.55</v>
      </c>
      <c r="F292">
        <f>MONTH(A292)</f>
        <v>12</v>
      </c>
    </row>
    <row r="293" spans="1:6">
      <c r="A293" s="13">
        <v>45994</v>
      </c>
      <c r="B293" t="s">
        <v>30</v>
      </c>
      <c r="C293" t="s">
        <v>13</v>
      </c>
      <c r="D293" t="s">
        <v>8</v>
      </c>
      <c r="E293" s="5">
        <v>59.9</v>
      </c>
      <c r="F293">
        <f>MONTH(A293)</f>
        <v>12</v>
      </c>
    </row>
    <row r="294" spans="1:6">
      <c r="A294" s="13">
        <v>45996</v>
      </c>
      <c r="B294" t="s">
        <v>32</v>
      </c>
      <c r="C294" t="s">
        <v>9</v>
      </c>
      <c r="D294" t="s">
        <v>8</v>
      </c>
      <c r="E294" s="5">
        <v>65</v>
      </c>
      <c r="F294">
        <f>MONTH(A294)</f>
        <v>12</v>
      </c>
    </row>
    <row r="295" spans="1:6">
      <c r="A295" s="13">
        <v>45996</v>
      </c>
      <c r="B295" t="s">
        <v>28</v>
      </c>
      <c r="C295" t="s">
        <v>18</v>
      </c>
      <c r="D295" t="s">
        <v>8</v>
      </c>
      <c r="E295" s="5">
        <v>39.8</v>
      </c>
      <c r="F295">
        <f>MONTH(A295)</f>
        <v>12</v>
      </c>
    </row>
    <row r="296" spans="1:6">
      <c r="A296" s="13">
        <v>45999</v>
      </c>
      <c r="B296" t="s">
        <v>38</v>
      </c>
      <c r="C296" t="s">
        <v>14</v>
      </c>
      <c r="D296" t="s">
        <v>8</v>
      </c>
      <c r="E296" s="5">
        <v>114.89</v>
      </c>
      <c r="F296">
        <f>MONTH(A296)</f>
        <v>12</v>
      </c>
    </row>
    <row r="297" spans="1:6">
      <c r="A297" s="13">
        <v>46000</v>
      </c>
      <c r="B297" t="s">
        <v>35</v>
      </c>
      <c r="C297" t="s">
        <v>14</v>
      </c>
      <c r="D297" t="s">
        <v>8</v>
      </c>
      <c r="E297" s="5">
        <v>30.68</v>
      </c>
      <c r="F297">
        <f>MONTH(A297)</f>
        <v>12</v>
      </c>
    </row>
    <row r="298" spans="1:6">
      <c r="A298" s="13">
        <v>46001</v>
      </c>
      <c r="B298" t="s">
        <v>34</v>
      </c>
      <c r="C298" t="s">
        <v>16</v>
      </c>
      <c r="D298" t="s">
        <v>8</v>
      </c>
      <c r="E298" s="5">
        <v>35</v>
      </c>
      <c r="F298">
        <f>MONTH(A298)</f>
        <v>12</v>
      </c>
    </row>
    <row r="299" spans="1:6">
      <c r="A299" s="13">
        <v>46002</v>
      </c>
      <c r="B299" t="s">
        <v>46</v>
      </c>
      <c r="C299" t="s">
        <v>14</v>
      </c>
      <c r="D299" t="s">
        <v>8</v>
      </c>
      <c r="E299" s="5">
        <v>124.7</v>
      </c>
      <c r="F299">
        <f>MONTH(A299)</f>
        <v>12</v>
      </c>
    </row>
    <row r="300" spans="1:6">
      <c r="A300" s="13">
        <v>46003</v>
      </c>
      <c r="B300" t="s">
        <v>66</v>
      </c>
      <c r="C300" t="s">
        <v>22</v>
      </c>
      <c r="D300" t="s">
        <v>8</v>
      </c>
      <c r="E300" s="5">
        <v>115.5</v>
      </c>
      <c r="F300">
        <f>MONTH(A300)</f>
        <v>12</v>
      </c>
    </row>
    <row r="301" spans="1:6">
      <c r="A301" s="13">
        <v>46004</v>
      </c>
      <c r="B301" t="s">
        <v>37</v>
      </c>
      <c r="C301" t="s">
        <v>10</v>
      </c>
      <c r="D301" t="s">
        <v>8</v>
      </c>
      <c r="E301" s="5">
        <v>58.02</v>
      </c>
      <c r="F301">
        <f>MONTH(A301)</f>
        <v>12</v>
      </c>
    </row>
    <row r="302" spans="1:6">
      <c r="A302" s="13">
        <v>46005</v>
      </c>
      <c r="B302" t="s">
        <v>31</v>
      </c>
      <c r="C302" t="s">
        <v>20</v>
      </c>
      <c r="D302" t="s">
        <v>8</v>
      </c>
      <c r="E302" s="5">
        <v>60.69</v>
      </c>
      <c r="F302">
        <f>MONTH(A302)</f>
        <v>12</v>
      </c>
    </row>
    <row r="303" spans="1:6">
      <c r="A303" s="13">
        <v>46006</v>
      </c>
      <c r="B303" t="s">
        <v>39</v>
      </c>
      <c r="C303" t="s">
        <v>12</v>
      </c>
      <c r="D303" t="s">
        <v>8</v>
      </c>
      <c r="E303" s="5">
        <v>107.73</v>
      </c>
      <c r="F303">
        <f>MONTH(A303)</f>
        <v>12</v>
      </c>
    </row>
    <row r="304" spans="1:6">
      <c r="A304" s="13">
        <v>46006</v>
      </c>
      <c r="B304" t="s">
        <v>66</v>
      </c>
      <c r="C304" t="s">
        <v>22</v>
      </c>
      <c r="D304" t="s">
        <v>8</v>
      </c>
      <c r="E304" s="5">
        <v>98.91</v>
      </c>
      <c r="F304">
        <f>MONTH(A304)</f>
        <v>12</v>
      </c>
    </row>
    <row r="305" spans="1:6">
      <c r="A305" s="13">
        <v>46009</v>
      </c>
      <c r="B305" t="s">
        <v>66</v>
      </c>
      <c r="C305" t="s">
        <v>22</v>
      </c>
      <c r="D305" t="s">
        <v>8</v>
      </c>
      <c r="E305" s="5">
        <v>102.44</v>
      </c>
      <c r="F305">
        <f>MONTH(A305)</f>
        <v>12</v>
      </c>
    </row>
    <row r="306" spans="1:6">
      <c r="A306" s="13">
        <v>46012</v>
      </c>
      <c r="B306" t="s">
        <v>62</v>
      </c>
      <c r="C306" t="s">
        <v>20</v>
      </c>
      <c r="D306" t="s">
        <v>8</v>
      </c>
      <c r="E306" s="5">
        <v>67.65000000000001</v>
      </c>
      <c r="F306">
        <f>MONTH(A306)</f>
        <v>12</v>
      </c>
    </row>
    <row r="307" spans="1:6">
      <c r="A307" s="13">
        <v>46014</v>
      </c>
      <c r="B307" t="s">
        <v>65</v>
      </c>
      <c r="C307" t="s">
        <v>6</v>
      </c>
      <c r="D307" t="s">
        <v>4</v>
      </c>
      <c r="E307" s="5">
        <v>140.65</v>
      </c>
      <c r="F307">
        <f>MONTH(A307)</f>
        <v>12</v>
      </c>
    </row>
    <row r="308" spans="1:6">
      <c r="A308" s="13">
        <v>46017</v>
      </c>
      <c r="B308" t="s">
        <v>45</v>
      </c>
      <c r="C308" t="s">
        <v>15</v>
      </c>
      <c r="D308" t="s">
        <v>8</v>
      </c>
      <c r="E308" s="5">
        <v>19.51</v>
      </c>
      <c r="F308">
        <f>MONTH(A308)</f>
        <v>12</v>
      </c>
    </row>
    <row r="309" spans="1:6">
      <c r="A309" s="13">
        <v>46018</v>
      </c>
      <c r="B309" t="s">
        <v>47</v>
      </c>
      <c r="C309" t="s">
        <v>5</v>
      </c>
      <c r="D309" t="s">
        <v>4</v>
      </c>
      <c r="E309" s="5">
        <v>3960</v>
      </c>
      <c r="F309">
        <f>MONTH(A309)</f>
        <v>12</v>
      </c>
    </row>
    <row r="310" spans="1:6">
      <c r="A310" s="13">
        <v>46018</v>
      </c>
      <c r="B310" t="s">
        <v>33</v>
      </c>
      <c r="C310" t="s">
        <v>15</v>
      </c>
      <c r="D310" t="s">
        <v>8</v>
      </c>
      <c r="E310" s="5">
        <v>43.39</v>
      </c>
      <c r="F310">
        <f>MONTH(A310)</f>
        <v>12</v>
      </c>
    </row>
    <row r="311" spans="1:6">
      <c r="A311" s="13">
        <v>46019</v>
      </c>
      <c r="B311" t="s">
        <v>49</v>
      </c>
      <c r="C311" t="s">
        <v>3</v>
      </c>
      <c r="D311" t="s">
        <v>4</v>
      </c>
      <c r="E311" s="5">
        <v>4900</v>
      </c>
      <c r="F311">
        <f>MONTH(A311)</f>
        <v>12</v>
      </c>
    </row>
    <row r="312" spans="1:6">
      <c r="A312" s="13">
        <v>46019</v>
      </c>
      <c r="B312" t="s">
        <v>28</v>
      </c>
      <c r="C312" t="s">
        <v>18</v>
      </c>
      <c r="D312" t="s">
        <v>8</v>
      </c>
      <c r="E312" s="5">
        <v>39.4</v>
      </c>
      <c r="F312">
        <f>MONTH(A312)</f>
        <v>12</v>
      </c>
    </row>
  </sheetData>
  <autoFilter ref="A1:F3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20.7109375" customWidth="1"/>
    <col min="2" max="2" width="10.7109375" customWidth="1"/>
    <col min="3" max="3" width="20.71093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 s="5">
        <v>2450</v>
      </c>
    </row>
    <row r="3" spans="1:3">
      <c r="A3" t="s">
        <v>5</v>
      </c>
      <c r="B3" t="s">
        <v>4</v>
      </c>
      <c r="C3" s="5">
        <v>1980</v>
      </c>
    </row>
    <row r="4" spans="1:3">
      <c r="A4" t="s">
        <v>6</v>
      </c>
      <c r="B4" t="s">
        <v>4</v>
      </c>
      <c r="C4" s="5">
        <v>150</v>
      </c>
    </row>
    <row r="5" spans="1:3">
      <c r="A5" t="s">
        <v>7</v>
      </c>
      <c r="B5" t="s">
        <v>8</v>
      </c>
      <c r="C5" s="5">
        <v>780</v>
      </c>
    </row>
    <row r="6" spans="1:3">
      <c r="A6" t="s">
        <v>9</v>
      </c>
      <c r="B6" t="s">
        <v>8</v>
      </c>
      <c r="C6" s="5">
        <v>65</v>
      </c>
    </row>
    <row r="7" spans="1:3">
      <c r="A7" t="s">
        <v>10</v>
      </c>
      <c r="B7" t="s">
        <v>8</v>
      </c>
      <c r="C7" s="5">
        <v>72</v>
      </c>
    </row>
    <row r="8" spans="1:3">
      <c r="A8" t="s">
        <v>11</v>
      </c>
      <c r="B8" t="s">
        <v>8</v>
      </c>
      <c r="C8" s="5">
        <v>28</v>
      </c>
    </row>
    <row r="9" spans="1:3">
      <c r="A9" t="s">
        <v>12</v>
      </c>
      <c r="B9" t="s">
        <v>8</v>
      </c>
      <c r="C9" s="5">
        <v>45</v>
      </c>
    </row>
    <row r="10" spans="1:3">
      <c r="A10" t="s">
        <v>13</v>
      </c>
      <c r="B10" t="s">
        <v>8</v>
      </c>
      <c r="C10" s="5">
        <v>59.9</v>
      </c>
    </row>
    <row r="11" spans="1:3">
      <c r="A11" t="s">
        <v>14</v>
      </c>
      <c r="B11" t="s">
        <v>8</v>
      </c>
      <c r="C11" s="5">
        <v>520</v>
      </c>
    </row>
    <row r="12" spans="1:3">
      <c r="A12" t="s">
        <v>15</v>
      </c>
      <c r="B12" t="s">
        <v>8</v>
      </c>
      <c r="C12" s="5">
        <v>140</v>
      </c>
    </row>
    <row r="13" spans="1:3">
      <c r="A13" t="s">
        <v>16</v>
      </c>
      <c r="B13" t="s">
        <v>8</v>
      </c>
      <c r="C13" s="5">
        <v>85</v>
      </c>
    </row>
    <row r="14" spans="1:3">
      <c r="A14" t="s">
        <v>17</v>
      </c>
      <c r="B14" t="s">
        <v>8</v>
      </c>
      <c r="C14" s="5">
        <v>180</v>
      </c>
    </row>
    <row r="15" spans="1:3">
      <c r="A15" t="s">
        <v>18</v>
      </c>
      <c r="B15" t="s">
        <v>8</v>
      </c>
      <c r="C15" s="5">
        <v>120</v>
      </c>
    </row>
    <row r="16" spans="1:3">
      <c r="A16" t="s">
        <v>19</v>
      </c>
      <c r="B16" t="s">
        <v>8</v>
      </c>
      <c r="C16" s="5">
        <v>90</v>
      </c>
    </row>
    <row r="17" spans="1:3">
      <c r="A17" t="s">
        <v>20</v>
      </c>
      <c r="B17" t="s">
        <v>8</v>
      </c>
      <c r="C17" s="5">
        <v>60</v>
      </c>
    </row>
    <row r="18" spans="1:3">
      <c r="A18" t="s">
        <v>21</v>
      </c>
      <c r="B18" t="s">
        <v>8</v>
      </c>
      <c r="C18" s="5">
        <v>110</v>
      </c>
    </row>
    <row r="19" spans="1:3">
      <c r="A19" t="s">
        <v>22</v>
      </c>
      <c r="B19" t="s">
        <v>8</v>
      </c>
      <c r="C19" s="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Presupuesto 2025</vt:lpstr>
      <vt:lpstr>Movimientos</vt:lpstr>
      <vt:lpstr>Categorías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presupuesto_familiar.xlsx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